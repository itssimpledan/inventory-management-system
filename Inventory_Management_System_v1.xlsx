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Supplier_Master" sheetId="2" state="visible" r:id="rId4"/>
    <sheet name="Item_Master" sheetId="3" state="visible" r:id="rId5"/>
    <sheet name="PO_Register" sheetId="4" state="visible" r:id="rId6"/>
    <sheet name="Inventory_Ledger" sheetId="5" state="visible" r:id="rId7"/>
    <sheet name="FIFO_Engine" sheetId="6" state="visible" r:id="rId8"/>
    <sheet name="WACC_Summary" sheetId="7" state="visible" r:id="rId9"/>
    <sheet name="Monthly_Recon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<sst xmlns="http://schemas.openxmlformats.org/spreadsheetml/2006/main" count="365" uniqueCount="266">
  <si>
    <t xml:space="preserve">📦  INVENTORY MANAGEMENT SYSTEM  v1.0</t>
  </si>
  <si>
    <t xml:space="preserve">End-to-End Inventory Tracking, FIFO Costing &amp; Month-End Reconciliation</t>
  </si>
  <si>
    <t xml:space="preserve">COLOUR CODING GUIDE</t>
  </si>
  <si>
    <t xml:space="preserve">Blue text on gold background</t>
  </si>
  <si>
    <t xml:space="preserve">Hardcoded INPUT cell — enter your data here</t>
  </si>
  <si>
    <t xml:space="preserve">Black text, white background</t>
  </si>
  <si>
    <t xml:space="preserve">FORMULA cell — calculated automatically, do not edit</t>
  </si>
  <si>
    <t xml:space="preserve">Green text, white background</t>
  </si>
  <si>
    <t xml:space="preserve">Cross-sheet LINK — pulls data from another sheet</t>
  </si>
  <si>
    <t xml:space="preserve">Dark navy header row</t>
  </si>
  <si>
    <t xml:space="preserve">Section title / sheet header</t>
  </si>
  <si>
    <t xml:space="preserve">Medium blue header row</t>
  </si>
  <si>
    <t xml:space="preserve">Column header row</t>
  </si>
  <si>
    <t xml:space="preserve">Light blue alternating row</t>
  </si>
  <si>
    <t xml:space="preserve">Data rows (alternating shading for readability)</t>
  </si>
  <si>
    <t xml:space="preserve">WORKBOOK SHEETS — WHAT EACH SHEET DOES</t>
  </si>
  <si>
    <t xml:space="preserve">Sheet Name</t>
  </si>
  <si>
    <t xml:space="preserve">Who Uses It</t>
  </si>
  <si>
    <t xml:space="preserve">Purpose</t>
  </si>
  <si>
    <t xml:space="preserve">Supplier_Master</t>
  </si>
  <si>
    <t xml:space="preserve">Finance / Admin</t>
  </si>
  <si>
    <t xml:space="preserve">One row per supplier. Enter supplier details, payment terms, banking info. Used as a lookup by the PO Register.</t>
  </si>
  <si>
    <t xml:space="preserve">Item_Master</t>
  </si>
  <si>
    <t xml:space="preserve">One row per SKU. Tracks product details and reorder points. Current stock qty, WACC and value auto-populate from FIFO Engine.</t>
  </si>
  <si>
    <t xml:space="preserve">PO_Register</t>
  </si>
  <si>
    <t xml:space="preserve">Operations + Finance</t>
  </si>
  <si>
    <t xml:space="preserve">Raise and track all Purchase Orders. Operations updates receipt date &amp; qty received. Finance updates payment milestone dates and status.</t>
  </si>
  <si>
    <t xml:space="preserve">Inventory_Ledger</t>
  </si>
  <si>
    <t xml:space="preserve">Every inventory movement is logged here (PO Receipts, Sales, Shrinkage, Adjustments). This feeds all calculations downstream.</t>
  </si>
  <si>
    <t xml:space="preserve">FIFO_Engine</t>
  </si>
  <si>
    <t xml:space="preserve">Finance (read-only)</t>
  </si>
  <si>
    <t xml:space="preserve">Auto-calculates FIFO cost layers. One row per goods receipt batch. Shows exactly how much of each layer remains and the COGS value consumed. DO NOT edit formula columns.</t>
  </si>
  <si>
    <t xml:space="preserve">WACC_Summary</t>
  </si>
  <si>
    <t xml:space="preserve">Summarises current on-hand qty, total inventory value, and Weighted Average Cost per SKU. Feeds back into Item_Master.</t>
  </si>
  <si>
    <t xml:space="preserve">Monthly_Recon</t>
  </si>
  <si>
    <t xml:space="preserve">Finance</t>
  </si>
  <si>
    <t xml:space="preserve">Select the accounting period. System calculates opening inventory, purchases, COGS, shrinkage, closing inventory, and generates journal entries to post.</t>
  </si>
  <si>
    <t xml:space="preserve">PROCESS FLOW</t>
  </si>
  <si>
    <t xml:space="preserve">Step</t>
  </si>
  <si>
    <t xml:space="preserve">Action</t>
  </si>
  <si>
    <t xml:space="preserve">Step 1 — Raise PO</t>
  </si>
  <si>
    <t xml:space="preserve">Finance/Ops enters PO details in PO_Register. Status = 'Draft'. Add supplier, item, qty, price, free units, freight.</t>
  </si>
  <si>
    <t xml:space="preserve">Step 2 — Approve PO</t>
  </si>
  <si>
    <t xml:space="preserve">Approver reviews and updates Status = 'Approved', enters Approved_By and Approval_Date.</t>
  </si>
  <si>
    <t xml:space="preserve">Step 3 — Pay Deposit</t>
  </si>
  <si>
    <t xml:space="preserve">Finance updates Status = 'Deposit Paid' and enters Deposit_Date.</t>
  </si>
  <si>
    <t xml:space="preserve">Step 4 — Full Payment &amp; Ship</t>
  </si>
  <si>
    <t xml:space="preserve">Finance updates Status = 'Fully Paid – Shipped' and enters Full_Payment_Date.</t>
  </si>
  <si>
    <t xml:space="preserve">Step 5 — Goods Received</t>
  </si>
  <si>
    <t xml:space="preserve">Ops updates Received_Date, Received_Qty, and Status = 'Fully Paid – Received'.</t>
  </si>
  <si>
    <t xml:space="preserve">Step 6 — Log in Ledger</t>
  </si>
  <si>
    <t xml:space="preserve">Finance adds a PO Receipt row in Inventory_Ledger (Qty_In, Unit_Cost from Effective_Unit_Cost on PO).</t>
  </si>
  <si>
    <t xml:space="preserve">Step 7 — Log Sales / Shrinkage</t>
  </si>
  <si>
    <t xml:space="preserve">Ops/Finance adds Sale or Shrinkage rows in Inventory_Ledger (Qty_Out, Unit_Cost from FIFO_Engine oldest open layer).</t>
  </si>
  <si>
    <t xml:space="preserve">Step 8 — Month-End Recon</t>
  </si>
  <si>
    <t xml:space="preserve">Finance opens Monthly_Recon, selects the period, reviews the movements and posts the generated journal entries.</t>
  </si>
  <si>
    <t xml:space="preserve">IMPORTANT — FIFO ENGINE RULES</t>
  </si>
  <si>
    <t xml:space="preserve">•  The FIFO Engine sheet MUST have rows sorted by Item_ID (A→Z) and then by Receipt_Date (oldest→newest) within each item.</t>
  </si>
  <si>
    <t xml:space="preserve">•  When you receive goods, add a new row to FIFO_Engine directly below the last row for that item (maintaining the sort order).</t>
  </si>
  <si>
    <t xml:space="preserve">•  Only enter data in the yellow INPUT columns (Layer_ID, Item_ID, PO_Reference, Receipt_Date, Qty_Received, Unit_Cost).</t>
  </si>
  <si>
    <t xml:space="preserve">•  All other columns in FIFO_Engine are formula-driven — copy the formulas down from the row above when adding new layers.</t>
  </si>
  <si>
    <t xml:space="preserve">•  Unit_Cost in FIFO_Engine = Effective_Unit_Cost from the PO_Register (Total PO Value ÷ Total Qty including free units).</t>
  </si>
  <si>
    <t xml:space="preserve">•  For the Unit_Cost of outgoing transactions in the Inventory_Ledger, use the Unit_Cost of the oldest 'Open' or 'Partial' layer in FIFO_Engine for that item.</t>
  </si>
  <si>
    <t xml:space="preserve">SUPPLIER MASTER</t>
  </si>
  <si>
    <t xml:space="preserve">Supplier ID</t>
  </si>
  <si>
    <t xml:space="preserve">Supplier Name</t>
  </si>
  <si>
    <t xml:space="preserve">Contact Name</t>
  </si>
  <si>
    <t xml:space="preserve">Email</t>
  </si>
  <si>
    <t xml:space="preserve">Phone</t>
  </si>
  <si>
    <t xml:space="preserve">Payment Terms</t>
  </si>
  <si>
    <t xml:space="preserve">Lead Time (days)</t>
  </si>
  <si>
    <t xml:space="preserve">Currency</t>
  </si>
  <si>
    <t xml:space="preserve">Bank Name</t>
  </si>
  <si>
    <t xml:space="preserve">Bank Account</t>
  </si>
  <si>
    <t xml:space="preserve">Swift / IBAN</t>
  </si>
  <si>
    <t xml:space="preserve">Status</t>
  </si>
  <si>
    <t xml:space="preserve">Notes</t>
  </si>
  <si>
    <t xml:space="preserve">S001</t>
  </si>
  <si>
    <t xml:space="preserve">ABC Trading Co.</t>
  </si>
  <si>
    <t xml:space="preserve">John Smith</t>
  </si>
  <si>
    <t xml:space="preserve">john@abctrading.com</t>
  </si>
  <si>
    <t xml:space="preserve">+1-555-0101</t>
  </si>
  <si>
    <t xml:space="preserve">Net 30</t>
  </si>
  <si>
    <t xml:space="preserve">USD</t>
  </si>
  <si>
    <t xml:space="preserve">First National Bank</t>
  </si>
  <si>
    <t xml:space="preserve">123-456-7890</t>
  </si>
  <si>
    <t xml:space="preserve">FNBAUS33</t>
  </si>
  <si>
    <t xml:space="preserve">Active</t>
  </si>
  <si>
    <t xml:space="preserve">Primary widget supplier</t>
  </si>
  <si>
    <t xml:space="preserve">S002</t>
  </si>
  <si>
    <t xml:space="preserve">XYZ Manufacturing</t>
  </si>
  <si>
    <t xml:space="preserve">Li Wei</t>
  </si>
  <si>
    <t xml:space="preserve">lwei@xyzman.com</t>
  </si>
  <si>
    <t xml:space="preserve">+86-21-55550202</t>
  </si>
  <si>
    <t xml:space="preserve">Net 60</t>
  </si>
  <si>
    <t xml:space="preserve">Bank of China</t>
  </si>
  <si>
    <t xml:space="preserve">987-654-3210</t>
  </si>
  <si>
    <t xml:space="preserve">BKCHCNBJ</t>
  </si>
  <si>
    <t xml:space="preserve">Main manufacturing partner</t>
  </si>
  <si>
    <t xml:space="preserve">S003</t>
  </si>
  <si>
    <t xml:space="preserve">Fresh Goods Ltd.</t>
  </si>
  <si>
    <t xml:space="preserve">Emma Brown</t>
  </si>
  <si>
    <t xml:space="preserve">emma@freshgoods.co</t>
  </si>
  <si>
    <t xml:space="preserve">+44-20-75550303</t>
  </si>
  <si>
    <t xml:space="preserve">Net 45</t>
  </si>
  <si>
    <t xml:space="preserve">GBP</t>
  </si>
  <si>
    <t xml:space="preserve">Barclays PLC</t>
  </si>
  <si>
    <t xml:space="preserve">111-222-3333</t>
  </si>
  <si>
    <t xml:space="preserve">BARCGB22</t>
  </si>
  <si>
    <t xml:space="preserve">Fast-turnaround supplier</t>
  </si>
  <si>
    <t xml:space="preserve">ITEM MASTER</t>
  </si>
  <si>
    <t xml:space="preserve">Item ID</t>
  </si>
  <si>
    <t xml:space="preserve">Item Name</t>
  </si>
  <si>
    <t xml:space="preserve">Description</t>
  </si>
  <si>
    <t xml:space="preserve">Category</t>
  </si>
  <si>
    <t xml:space="preserve">Unit of Measure</t>
  </si>
  <si>
    <t xml:space="preserve">Reorder Point</t>
  </si>
  <si>
    <t xml:space="preserve">Std Lead Days</t>
  </si>
  <si>
    <t xml:space="preserve">Preferred Supplier</t>
  </si>
  <si>
    <t xml:space="preserve">Qty On Hand</t>
  </si>
  <si>
    <t xml:space="preserve">Current WACC ($)</t>
  </si>
  <si>
    <t xml:space="preserve">Inventory Value ($)</t>
  </si>
  <si>
    <t xml:space="preserve">I001</t>
  </si>
  <si>
    <t xml:space="preserve">Widget A</t>
  </si>
  <si>
    <t xml:space="preserve">Standard Widget – Type A</t>
  </si>
  <si>
    <t xml:space="preserve">Electronics</t>
  </si>
  <si>
    <t xml:space="preserve">Units</t>
  </si>
  <si>
    <t xml:space="preserve">I002</t>
  </si>
  <si>
    <t xml:space="preserve">Widget B</t>
  </si>
  <si>
    <t xml:space="preserve">Premium Widget – Type B</t>
  </si>
  <si>
    <t xml:space="preserve">I003</t>
  </si>
  <si>
    <t xml:space="preserve">Gadget X</t>
  </si>
  <si>
    <t xml:space="preserve">Multi-function Gadget X</t>
  </si>
  <si>
    <t xml:space="preserve">I004</t>
  </si>
  <si>
    <t xml:space="preserve">Gadget Y</t>
  </si>
  <si>
    <t xml:space="preserve">Compact Gadget Y</t>
  </si>
  <si>
    <t xml:space="preserve">I005</t>
  </si>
  <si>
    <t xml:space="preserve">Component Z</t>
  </si>
  <si>
    <t xml:space="preserve">Base Component Z</t>
  </si>
  <si>
    <t xml:space="preserve">Components</t>
  </si>
  <si>
    <t xml:space="preserve">PURCHASE ORDER REGISTER</t>
  </si>
  <si>
    <t xml:space="preserve">PO Number</t>
  </si>
  <si>
    <t xml:space="preserve">PO Date</t>
  </si>
  <si>
    <t xml:space="preserve">Qty Ordered</t>
  </si>
  <si>
    <t xml:space="preserve">Unit Price</t>
  </si>
  <si>
    <t xml:space="preserve">Free Units</t>
  </si>
  <si>
    <t xml:space="preserve">Total Qty</t>
  </si>
  <si>
    <t xml:space="preserve">Subtotal ($)</t>
  </si>
  <si>
    <t xml:space="preserve">Freight ($)</t>
  </si>
  <si>
    <t xml:space="preserve">Other Costs ($)</t>
  </si>
  <si>
    <t xml:space="preserve">Total PO Value ($)</t>
  </si>
  <si>
    <t xml:space="preserve">Eff. Unit Cost ($)</t>
  </si>
  <si>
    <t xml:space="preserve">FX Rate</t>
  </si>
  <si>
    <t xml:space="preserve">Total Value (USD)</t>
  </si>
  <si>
    <t xml:space="preserve">Deposit %</t>
  </si>
  <si>
    <t xml:space="preserve">Deposit Amt ($)</t>
  </si>
  <si>
    <t xml:space="preserve">Raised By</t>
  </si>
  <si>
    <t xml:space="preserve">Approved By</t>
  </si>
  <si>
    <t xml:space="preserve">Approval Date</t>
  </si>
  <si>
    <t xml:space="preserve">Deposit Date</t>
  </si>
  <si>
    <t xml:space="preserve">Full Payment Date</t>
  </si>
  <si>
    <t xml:space="preserve">Exp. Delivery Date</t>
  </si>
  <si>
    <t xml:space="preserve">Received Date</t>
  </si>
  <si>
    <t xml:space="preserve">Received Qty</t>
  </si>
  <si>
    <t xml:space="preserve">PO-2026-001</t>
  </si>
  <si>
    <t xml:space="preserve">Fully Paid – Received</t>
  </si>
  <si>
    <t xml:space="preserve">Daniel</t>
  </si>
  <si>
    <t xml:space="preserve">Sarah M</t>
  </si>
  <si>
    <t xml:space="preserve">Received in full incl. 50 free units</t>
  </si>
  <si>
    <t xml:space="preserve">PO-2026-002</t>
  </si>
  <si>
    <t xml:space="preserve">Received in full</t>
  </si>
  <si>
    <t xml:space="preserve">PO-2026-003</t>
  </si>
  <si>
    <t xml:space="preserve">Deposit Paid</t>
  </si>
  <si>
    <t xml:space="preserve">Michael</t>
  </si>
  <si>
    <t xml:space="preserve">Awaiting shipment</t>
  </si>
  <si>
    <t xml:space="preserve">PO-2026-004</t>
  </si>
  <si>
    <t xml:space="preserve">Approved</t>
  </si>
  <si>
    <t xml:space="preserve">Free units: 10% bonus</t>
  </si>
  <si>
    <t xml:space="preserve">INVENTORY LEDGER  —  All Movements (Receipts | Sales | Shrinkage | Adjustments)</t>
  </si>
  <si>
    <t xml:space="preserve">Txn ID</t>
  </si>
  <si>
    <t xml:space="preserve">Date</t>
  </si>
  <si>
    <t xml:space="preserve">Period</t>
  </si>
  <si>
    <t xml:space="preserve">Transaction Type</t>
  </si>
  <si>
    <t xml:space="preserve">Reference</t>
  </si>
  <si>
    <t xml:space="preserve">Qty In</t>
  </si>
  <si>
    <t xml:space="preserve">Qty Out</t>
  </si>
  <si>
    <t xml:space="preserve">Unit Cost ($)</t>
  </si>
  <si>
    <t xml:space="preserve">Value In ($)</t>
  </si>
  <si>
    <t xml:space="preserve">Value Out ($)</t>
  </si>
  <si>
    <t xml:space="preserve">Posted By</t>
  </si>
  <si>
    <t xml:space="preserve">TXN-001</t>
  </si>
  <si>
    <t xml:space="preserve">PO Receipt</t>
  </si>
  <si>
    <t xml:space="preserve">PO-2026-001 received in full (1,000 ordered + 50 free)</t>
  </si>
  <si>
    <t xml:space="preserve">TXN-002</t>
  </si>
  <si>
    <t xml:space="preserve">PO-2026-002 received in full</t>
  </si>
  <si>
    <t xml:space="preserve">TXN-003</t>
  </si>
  <si>
    <t xml:space="preserve">Sale</t>
  </si>
  <si>
    <t xml:space="preserve">INV-2026-001</t>
  </si>
  <si>
    <t xml:space="preserve">Customer Order #001 — 400 units Widget A</t>
  </si>
  <si>
    <t xml:space="preserve">TXN-004</t>
  </si>
  <si>
    <t xml:space="preserve">INV-2026-002</t>
  </si>
  <si>
    <t xml:space="preserve">Customer Order #002 — 200 units Widget B</t>
  </si>
  <si>
    <t xml:space="preserve">TXN-005</t>
  </si>
  <si>
    <t xml:space="preserve">Shrinkage</t>
  </si>
  <si>
    <t xml:space="preserve">ADJ-2026-001</t>
  </si>
  <si>
    <t xml:space="preserve">Feb month-end stock count variance — 10 units</t>
  </si>
  <si>
    <t xml:space="preserve">TOTALS</t>
  </si>
  <si>
    <t xml:space="preserve">FIFO ENGINE  —  Cost Layer Tracking  |  IMPORTANT: Keep sorted by Item ID then Receipt Date (oldest first)</t>
  </si>
  <si>
    <t xml:space="preserve">Layer ID</t>
  </si>
  <si>
    <t xml:space="preserve">PO Reference</t>
  </si>
  <si>
    <t xml:space="preserve">Receipt Date</t>
  </si>
  <si>
    <t xml:space="preserve">Qty Received</t>
  </si>
  <si>
    <t xml:space="preserve">Cum. Qty Received</t>
  </si>
  <si>
    <t xml:space="preserve">Total Qty Consumed</t>
  </si>
  <si>
    <t xml:space="preserve">Qty Consumed (Layer)</t>
  </si>
  <si>
    <t xml:space="preserve">Qty Remaining</t>
  </si>
  <si>
    <t xml:space="preserve">Value Remaining ($)</t>
  </si>
  <si>
    <t xml:space="preserve">COGS Value ($)</t>
  </si>
  <si>
    <t xml:space="preserve">Layer Status</t>
  </si>
  <si>
    <t xml:space="preserve">L-001</t>
  </si>
  <si>
    <t xml:space="preserve">L-002</t>
  </si>
  <si>
    <t xml:space="preserve">⚠  INPUT columns (yellow): Layer ID, Item ID, PO Reference, Receipt Date, Qty Received, Unit Cost    |    FORMULA columns (dark header): do not edit — copy formulas down when adding new layers</t>
  </si>
  <si>
    <t xml:space="preserve">WACC SUMMARY  —  Current Inventory Position &amp; Weighted Average Cost (auto-calculated from FIFO Engine)</t>
  </si>
  <si>
    <t xml:space="preserve">WACC per Unit ($)</t>
  </si>
  <si>
    <t xml:space="preserve">Total COGS to Date ($)</t>
  </si>
  <si>
    <t xml:space="preserve">Total Qty Purchased</t>
  </si>
  <si>
    <t xml:space="preserve">Total Purchase Value ($)</t>
  </si>
  <si>
    <t xml:space="preserve">Open Layers</t>
  </si>
  <si>
    <t xml:space="preserve">Reorder Alert</t>
  </si>
  <si>
    <t xml:space="preserve">GRAND TOTAL</t>
  </si>
  <si>
    <t xml:space="preserve">MONTHLY RECONCILIATION  —  Inventory Movements, COGS &amp; Journal Entries</t>
  </si>
  <si>
    <t xml:space="preserve">Accounting Period (1st of month):</t>
  </si>
  <si>
    <t xml:space="preserve">← Change this date to switch periods</t>
  </si>
  <si>
    <t xml:space="preserve">INVENTORY MOVEMENT RECONCILIATION</t>
  </si>
  <si>
    <t xml:space="preserve">Opening Qty</t>
  </si>
  <si>
    <t xml:space="preserve">Opening Value ($)</t>
  </si>
  <si>
    <t xml:space="preserve">Purchases Qty</t>
  </si>
  <si>
    <t xml:space="preserve">Purchases Value ($)</t>
  </si>
  <si>
    <t xml:space="preserve">COGS Qty</t>
  </si>
  <si>
    <t xml:space="preserve">Shrinkage Qty</t>
  </si>
  <si>
    <t xml:space="preserve">Shrinkage Value ($)</t>
  </si>
  <si>
    <t xml:space="preserve">Closing Qty</t>
  </si>
  <si>
    <t xml:space="preserve">Closing Value ($)</t>
  </si>
  <si>
    <t xml:space="preserve">Variance</t>
  </si>
  <si>
    <t xml:space="preserve">JE #</t>
  </si>
  <si>
    <t xml:space="preserve">Debit Account</t>
  </si>
  <si>
    <t xml:space="preserve">Credit Account</t>
  </si>
  <si>
    <t xml:space="preserve">Amount ($)</t>
  </si>
  <si>
    <t xml:space="preserve">JE-01</t>
  </si>
  <si>
    <t xml:space="preserve">Inventory (Balance Sheet)</t>
  </si>
  <si>
    <t xml:space="preserve">Accounts Payable</t>
  </si>
  <si>
    <t xml:space="preserve">DR Inventory / CR AP for all goods received in period</t>
  </si>
  <si>
    <t xml:space="preserve">JE-02</t>
  </si>
  <si>
    <t xml:space="preserve">Cost of Sales</t>
  </si>
  <si>
    <t xml:space="preserve">DR COGS / CR Inventory — FIFO cost of goods sold</t>
  </si>
  <si>
    <t xml:space="preserve">JE-03</t>
  </si>
  <si>
    <t xml:space="preserve">Shrinkage / Write-off Expense</t>
  </si>
  <si>
    <t xml:space="preserve">DR Shrinkage Expense / CR Inventory</t>
  </si>
  <si>
    <t xml:space="preserve">JE-04</t>
  </si>
  <si>
    <t xml:space="preserve">— Review if non-zero →</t>
  </si>
  <si>
    <t xml:space="preserve">Inventory Variance Account</t>
  </si>
  <si>
    <t xml:space="preserve">Investigate before posting</t>
  </si>
  <si>
    <t xml:space="preserve">Post only if FIFO Engine vs Ledger variance exists after reconciliation</t>
  </si>
  <si>
    <t xml:space="preserve">BALANCE SHEET INVENTORY VALUE AFTER ENTRIES</t>
  </si>
  <si>
    <t xml:space="preserve">Inventory (B/S) closing balance per FIFO Engine:</t>
  </si>
  <si>
    <t xml:space="preserve">Total inventory value per Ledger (closing):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</si>
</sst>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_);\(#,##0\);\-"/>
    <numFmt numFmtId="166" formatCode="#,##0.00_);\(#,##0.00\);\-"/>
    <numFmt numFmtId="167" formatCode="dd\-mmm\-yyyy"/>
    <numFmt numFmtId="168" formatCode="0.0000"/>
    <numFmt numFmtId="169" formatCode="0.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i val="true"/>
      <sz val="11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7F0000"/>
      <name val="Arial"/>
      <family val="0"/>
      <charset val="1"/>
    </font>
    <font>
      <i val="true"/>
      <sz val="9"/>
      <color rgb="FF7F7F7F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i val="true"/>
      <sz val="9"/>
      <color rgb="FF00000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264E86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FF2CC"/>
      </patternFill>
    </fill>
    <fill>
      <patternFill patternType="solid">
        <fgColor rgb="FFDEEAF1"/>
        <bgColor rgb="FFE2EFDA"/>
      </patternFill>
    </fill>
    <fill>
      <patternFill patternType="solid">
        <fgColor rgb="FFFCE9D4"/>
        <bgColor rgb="FFFCE4D6"/>
      </patternFill>
    </fill>
    <fill>
      <patternFill patternType="solid">
        <fgColor rgb="FFE2EFDA"/>
        <bgColor rgb="FFDEEAF1"/>
      </patternFill>
    </fill>
    <fill>
      <patternFill patternType="solid">
        <fgColor rgb="FFFFF2CC"/>
        <bgColor rgb="FFFCE9D4"/>
      </patternFill>
    </fill>
    <fill>
      <patternFill patternType="solid">
        <fgColor rgb="FFD6DCE4"/>
        <bgColor rgb="FFDEEAF1"/>
      </patternFill>
    </fill>
    <fill>
      <patternFill patternType="solid">
        <fgColor rgb="FF264E86"/>
        <bgColor rgb="FF1F4E79"/>
      </patternFill>
    </fill>
    <fill>
      <patternFill patternType="solid">
        <fgColor rgb="FFFCE4D6"/>
        <bgColor rgb="FFFCE9D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0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0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1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F0000"/>
      <rgbColor rgb="FF008000"/>
      <rgbColor rgb="FF000080"/>
      <rgbColor rgb="FF808000"/>
      <rgbColor rgb="FF800080"/>
      <rgbColor rgb="FF008080"/>
      <rgbColor rgb="FFCCCCCC"/>
      <rgbColor rgb="FF7F7F7F"/>
      <rgbColor rgb="FF9999FF"/>
      <rgbColor rgb="FF993366"/>
      <rgbColor rgb="FFFFF2CC"/>
      <rgbColor rgb="FFDEEAF1"/>
      <rgbColor rgb="FF660066"/>
      <rgbColor rgb="FFFF8080"/>
      <rgbColor rgb="FF0066CC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9D4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4E79"/>
      <rgbColor rgb="FF339966"/>
      <rgbColor rgb="FF003300"/>
      <rgbColor rgb="FF333300"/>
      <rgbColor rgb="FF993300"/>
      <rgbColor rgb="FF993366"/>
      <rgbColor rgb="FF264E8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60"/>
    <col collapsed="false" customWidth="true" hidden="false" outlineLevel="0" max="4" min="4" style="0" width="55"/>
    <col collapsed="false" customWidth="true" hidden="false" outlineLevel="0" max="5" min="5" style="0" width="28"/>
  </cols>
  <sheetData>
    <row r="1" customFormat="false" ht="9.75" hidden="false" customHeight="true" outlineLevel="0" collapsed="false"/>
    <row r="2" customFormat="false" ht="42" hidden="false" customHeight="true" outlineLevel="0" collapsed="false">
      <c r="B2" s="1" t="s">
        <v>0</v>
      </c>
      <c r="C2" s="1"/>
      <c r="D2" s="1"/>
      <c r="E2" s="1"/>
    </row>
    <row r="3" customFormat="false" ht="19.5" hidden="false" customHeight="true" outlineLevel="0" collapsed="false">
      <c r="B3" s="2" t="s">
        <v>1</v>
      </c>
      <c r="C3" s="2"/>
      <c r="D3" s="2"/>
      <c r="E3" s="2"/>
    </row>
    <row r="5" customFormat="false" ht="24" hidden="false" customHeight="true" outlineLevel="0" collapsed="false">
      <c r="B5" s="3" t="s">
        <v>2</v>
      </c>
      <c r="C5" s="3"/>
      <c r="D5" s="3"/>
      <c r="E5" s="3"/>
    </row>
    <row r="6" customFormat="false" ht="18" hidden="false" customHeight="true" outlineLevel="0" collapsed="false">
      <c r="B6" s="4" t="s">
        <v>3</v>
      </c>
      <c r="C6" s="5" t="s">
        <v>4</v>
      </c>
      <c r="D6" s="5"/>
      <c r="E6" s="5"/>
    </row>
    <row r="7" customFormat="false" ht="18" hidden="false" customHeight="true" outlineLevel="0" collapsed="false">
      <c r="B7" s="6" t="s">
        <v>5</v>
      </c>
      <c r="C7" s="7" t="s">
        <v>6</v>
      </c>
      <c r="D7" s="7"/>
      <c r="E7" s="7"/>
    </row>
    <row r="8" customFormat="false" ht="18" hidden="false" customHeight="true" outlineLevel="0" collapsed="false">
      <c r="B8" s="4" t="s">
        <v>7</v>
      </c>
      <c r="C8" s="5" t="s">
        <v>8</v>
      </c>
      <c r="D8" s="5"/>
      <c r="E8" s="5"/>
    </row>
    <row r="9" customFormat="false" ht="18" hidden="false" customHeight="true" outlineLevel="0" collapsed="false">
      <c r="B9" s="6" t="s">
        <v>9</v>
      </c>
      <c r="C9" s="7" t="s">
        <v>10</v>
      </c>
      <c r="D9" s="7"/>
      <c r="E9" s="7"/>
    </row>
    <row r="10" customFormat="false" ht="18" hidden="false" customHeight="true" outlineLevel="0" collapsed="false">
      <c r="B10" s="4" t="s">
        <v>11</v>
      </c>
      <c r="C10" s="5" t="s">
        <v>12</v>
      </c>
      <c r="D10" s="5"/>
      <c r="E10" s="5"/>
    </row>
    <row r="11" customFormat="false" ht="18" hidden="false" customHeight="true" outlineLevel="0" collapsed="false">
      <c r="B11" s="6" t="s">
        <v>13</v>
      </c>
      <c r="C11" s="7" t="s">
        <v>14</v>
      </c>
      <c r="D11" s="7"/>
      <c r="E11" s="7"/>
    </row>
    <row r="13" customFormat="false" ht="24" hidden="false" customHeight="true" outlineLevel="0" collapsed="false">
      <c r="B13" s="3" t="s">
        <v>15</v>
      </c>
      <c r="C13" s="3"/>
      <c r="D13" s="3"/>
      <c r="E13" s="3"/>
    </row>
    <row r="14" customFormat="false" ht="31.5" hidden="false" customHeight="true" outlineLevel="0" collapsed="false">
      <c r="B14" s="8" t="s">
        <v>16</v>
      </c>
      <c r="C14" s="8" t="s">
        <v>17</v>
      </c>
      <c r="D14" s="8" t="s">
        <v>18</v>
      </c>
      <c r="E14" s="8"/>
    </row>
    <row r="15" customFormat="false" ht="21.75" hidden="false" customHeight="true" outlineLevel="0" collapsed="false">
      <c r="B15" s="9" t="s">
        <v>19</v>
      </c>
      <c r="C15" s="10" t="s">
        <v>20</v>
      </c>
      <c r="D15" s="11" t="s">
        <v>21</v>
      </c>
      <c r="E15" s="11"/>
    </row>
    <row r="16" customFormat="false" ht="21.75" hidden="false" customHeight="true" outlineLevel="0" collapsed="false">
      <c r="B16" s="6" t="s">
        <v>22</v>
      </c>
      <c r="C16" s="7" t="s">
        <v>20</v>
      </c>
      <c r="D16" s="12" t="s">
        <v>23</v>
      </c>
      <c r="E16" s="12"/>
    </row>
    <row r="17" customFormat="false" ht="21.75" hidden="false" customHeight="true" outlineLevel="0" collapsed="false">
      <c r="B17" s="9" t="s">
        <v>24</v>
      </c>
      <c r="C17" s="10" t="s">
        <v>25</v>
      </c>
      <c r="D17" s="11" t="s">
        <v>26</v>
      </c>
      <c r="E17" s="11"/>
    </row>
    <row r="18" customFormat="false" ht="21.75" hidden="false" customHeight="true" outlineLevel="0" collapsed="false">
      <c r="B18" s="6" t="s">
        <v>27</v>
      </c>
      <c r="C18" s="7" t="s">
        <v>25</v>
      </c>
      <c r="D18" s="12" t="s">
        <v>28</v>
      </c>
      <c r="E18" s="12"/>
    </row>
    <row r="19" customFormat="false" ht="21.75" hidden="false" customHeight="true" outlineLevel="0" collapsed="false">
      <c r="B19" s="9" t="s">
        <v>29</v>
      </c>
      <c r="C19" s="10" t="s">
        <v>30</v>
      </c>
      <c r="D19" s="11" t="s">
        <v>31</v>
      </c>
      <c r="E19" s="11"/>
    </row>
    <row r="20" customFormat="false" ht="21.75" hidden="false" customHeight="true" outlineLevel="0" collapsed="false">
      <c r="B20" s="6" t="s">
        <v>32</v>
      </c>
      <c r="C20" s="7" t="s">
        <v>30</v>
      </c>
      <c r="D20" s="12" t="s">
        <v>33</v>
      </c>
      <c r="E20" s="12"/>
    </row>
    <row r="21" customFormat="false" ht="21.75" hidden="false" customHeight="true" outlineLevel="0" collapsed="false">
      <c r="B21" s="9" t="s">
        <v>34</v>
      </c>
      <c r="C21" s="10" t="s">
        <v>35</v>
      </c>
      <c r="D21" s="11" t="s">
        <v>36</v>
      </c>
      <c r="E21" s="11"/>
    </row>
    <row r="23" customFormat="false" ht="24" hidden="false" customHeight="true" outlineLevel="0" collapsed="false">
      <c r="B23" s="3" t="s">
        <v>37</v>
      </c>
      <c r="C23" s="3"/>
      <c r="D23" s="3"/>
      <c r="E23" s="3"/>
    </row>
    <row r="24" customFormat="false" ht="31.5" hidden="false" customHeight="true" outlineLevel="0" collapsed="false">
      <c r="B24" s="8" t="s">
        <v>38</v>
      </c>
      <c r="C24" s="8" t="s">
        <v>39</v>
      </c>
      <c r="D24" s="8"/>
      <c r="E24" s="8"/>
    </row>
    <row r="25" customFormat="false" ht="21.75" hidden="false" customHeight="true" outlineLevel="0" collapsed="false">
      <c r="B25" s="9" t="s">
        <v>40</v>
      </c>
      <c r="C25" s="11" t="s">
        <v>41</v>
      </c>
      <c r="D25" s="11"/>
      <c r="E25" s="11"/>
    </row>
    <row r="26" customFormat="false" ht="21.75" hidden="false" customHeight="true" outlineLevel="0" collapsed="false">
      <c r="B26" s="6" t="s">
        <v>42</v>
      </c>
      <c r="C26" s="12" t="s">
        <v>43</v>
      </c>
      <c r="D26" s="12"/>
      <c r="E26" s="12"/>
    </row>
    <row r="27" customFormat="false" ht="21.75" hidden="false" customHeight="true" outlineLevel="0" collapsed="false">
      <c r="B27" s="9" t="s">
        <v>44</v>
      </c>
      <c r="C27" s="11" t="s">
        <v>45</v>
      </c>
      <c r="D27" s="11"/>
      <c r="E27" s="11"/>
    </row>
    <row r="28" customFormat="false" ht="21.75" hidden="false" customHeight="true" outlineLevel="0" collapsed="false">
      <c r="B28" s="6" t="s">
        <v>46</v>
      </c>
      <c r="C28" s="12" t="s">
        <v>47</v>
      </c>
      <c r="D28" s="12"/>
      <c r="E28" s="12"/>
    </row>
    <row r="29" customFormat="false" ht="21.75" hidden="false" customHeight="true" outlineLevel="0" collapsed="false">
      <c r="B29" s="9" t="s">
        <v>48</v>
      </c>
      <c r="C29" s="11" t="s">
        <v>49</v>
      </c>
      <c r="D29" s="11"/>
      <c r="E29" s="11"/>
    </row>
    <row r="30" customFormat="false" ht="21.75" hidden="false" customHeight="true" outlineLevel="0" collapsed="false">
      <c r="B30" s="6" t="s">
        <v>50</v>
      </c>
      <c r="C30" s="12" t="s">
        <v>51</v>
      </c>
      <c r="D30" s="12"/>
      <c r="E30" s="12"/>
    </row>
    <row r="31" customFormat="false" ht="21.75" hidden="false" customHeight="true" outlineLevel="0" collapsed="false">
      <c r="B31" s="9" t="s">
        <v>52</v>
      </c>
      <c r="C31" s="11" t="s">
        <v>53</v>
      </c>
      <c r="D31" s="11"/>
      <c r="E31" s="11"/>
    </row>
    <row r="32" customFormat="false" ht="21.75" hidden="false" customHeight="true" outlineLevel="0" collapsed="false">
      <c r="B32" s="6" t="s">
        <v>54</v>
      </c>
      <c r="C32" s="12" t="s">
        <v>55</v>
      </c>
      <c r="D32" s="12"/>
      <c r="E32" s="12"/>
    </row>
    <row r="34" customFormat="false" ht="24" hidden="false" customHeight="true" outlineLevel="0" collapsed="false">
      <c r="B34" s="3" t="s">
        <v>56</v>
      </c>
      <c r="C34" s="3"/>
      <c r="D34" s="3"/>
      <c r="E34" s="3"/>
    </row>
    <row r="35" customFormat="false" ht="19.5" hidden="false" customHeight="true" outlineLevel="0" collapsed="false">
      <c r="B35" s="13" t="s">
        <v>57</v>
      </c>
      <c r="C35" s="13"/>
      <c r="D35" s="13"/>
      <c r="E35" s="13"/>
    </row>
    <row r="36" customFormat="false" ht="19.5" hidden="false" customHeight="true" outlineLevel="0" collapsed="false">
      <c r="B36" s="12" t="s">
        <v>58</v>
      </c>
      <c r="C36" s="12"/>
      <c r="D36" s="12"/>
      <c r="E36" s="12"/>
    </row>
    <row r="37" customFormat="false" ht="19.5" hidden="false" customHeight="true" outlineLevel="0" collapsed="false">
      <c r="B37" s="11" t="s">
        <v>59</v>
      </c>
      <c r="C37" s="11"/>
      <c r="D37" s="11"/>
      <c r="E37" s="11"/>
    </row>
    <row r="38" customFormat="false" ht="19.5" hidden="false" customHeight="true" outlineLevel="0" collapsed="false">
      <c r="B38" s="12" t="s">
        <v>60</v>
      </c>
      <c r="C38" s="12"/>
      <c r="D38" s="12"/>
      <c r="E38" s="12"/>
    </row>
    <row r="39" customFormat="false" ht="19.5" hidden="false" customHeight="true" outlineLevel="0" collapsed="false">
      <c r="B39" s="11" t="s">
        <v>61</v>
      </c>
      <c r="C39" s="11"/>
      <c r="D39" s="11"/>
      <c r="E39" s="11"/>
    </row>
    <row r="40" customFormat="false" ht="19.5" hidden="false" customHeight="true" outlineLevel="0" collapsed="false">
      <c r="B40" s="12" t="s">
        <v>62</v>
      </c>
      <c r="C40" s="12"/>
      <c r="D40" s="12"/>
      <c r="E40" s="12"/>
    </row>
  </sheetData>
  <mergeCells count="35">
    <mergeCell ref="B2:E2"/>
    <mergeCell ref="B3:E3"/>
    <mergeCell ref="B5:E5"/>
    <mergeCell ref="C6:E6"/>
    <mergeCell ref="C7:E7"/>
    <mergeCell ref="C8:E8"/>
    <mergeCell ref="C9:E9"/>
    <mergeCell ref="C10:E10"/>
    <mergeCell ref="C11:E11"/>
    <mergeCell ref="B13:E13"/>
    <mergeCell ref="D14:E14"/>
    <mergeCell ref="D15:E15"/>
    <mergeCell ref="D16:E16"/>
    <mergeCell ref="D17:E17"/>
    <mergeCell ref="D18:E18"/>
    <mergeCell ref="D19:E19"/>
    <mergeCell ref="D20:E20"/>
    <mergeCell ref="D21:E21"/>
    <mergeCell ref="B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B34:E34"/>
    <mergeCell ref="B35:E35"/>
    <mergeCell ref="B36:E36"/>
    <mergeCell ref="B37:E37"/>
    <mergeCell ref="B38:E38"/>
    <mergeCell ref="B39:E39"/>
    <mergeCell ref="B40:E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8"/>
    <col collapsed="false" customWidth="true" hidden="false" outlineLevel="0" max="4" min="4" style="0" width="26"/>
    <col collapsed="false" customWidth="true" hidden="false" outlineLevel="0" max="5" min="5" style="0" width="16"/>
    <col collapsed="false" customWidth="true" hidden="false" outlineLevel="0" max="7" min="6" style="0" width="14"/>
    <col collapsed="false" customWidth="true" hidden="false" outlineLevel="0" max="8" min="8" style="0" width="10"/>
    <col collapsed="false" customWidth="true" hidden="false" outlineLevel="0" max="9" min="9" style="0" width="22"/>
    <col collapsed="false" customWidth="true" hidden="false" outlineLevel="0" max="10" min="10" style="0" width="18"/>
    <col collapsed="false" customWidth="true" hidden="false" outlineLevel="0" max="11" min="11" style="0" width="16"/>
    <col collapsed="false" customWidth="true" hidden="false" outlineLevel="0" max="12" min="12" style="0" width="10"/>
    <col collapsed="false" customWidth="true" hidden="false" outlineLevel="0" max="13" min="13" style="0" width="30"/>
  </cols>
  <sheetData>
    <row r="1" customFormat="false" ht="24" hidden="false" customHeight="true" outlineLevel="0" collapsed="false">
      <c r="A1" s="3" t="s">
        <v>63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customFormat="false" ht="31.5" hidden="false" customHeight="true" outlineLevel="0" collapsed="false">
      <c r="A2" s="8" t="s">
        <v>64</v>
      </c>
      <c r="B2" s="8" t="s">
        <v>65</v>
      </c>
      <c r="C2" s="8" t="s">
        <v>66</v>
      </c>
      <c r="D2" s="8" t="s">
        <v>67</v>
      </c>
      <c r="E2" s="8" t="s">
        <v>68</v>
      </c>
      <c r="F2" s="8" t="s">
        <v>69</v>
      </c>
      <c r="G2" s="8" t="s">
        <v>70</v>
      </c>
      <c r="H2" s="8" t="s">
        <v>71</v>
      </c>
      <c r="I2" s="8" t="s">
        <v>72</v>
      </c>
      <c r="J2" s="8" t="s">
        <v>73</v>
      </c>
      <c r="K2" s="8" t="s">
        <v>74</v>
      </c>
      <c r="L2" s="8" t="s">
        <v>75</v>
      </c>
      <c r="M2" s="8" t="s">
        <v>76</v>
      </c>
    </row>
    <row r="3" customFormat="false" ht="15" hidden="false" customHeight="false" outlineLevel="0" collapsed="false">
      <c r="A3" s="10" t="s">
        <v>77</v>
      </c>
      <c r="B3" s="10" t="s">
        <v>78</v>
      </c>
      <c r="C3" s="10" t="s">
        <v>79</v>
      </c>
      <c r="D3" s="10" t="s">
        <v>80</v>
      </c>
      <c r="E3" s="10" t="s">
        <v>81</v>
      </c>
      <c r="F3" s="10" t="s">
        <v>82</v>
      </c>
      <c r="G3" s="10" t="n">
        <v>14</v>
      </c>
      <c r="H3" s="10" t="s">
        <v>83</v>
      </c>
      <c r="I3" s="10" t="s">
        <v>84</v>
      </c>
      <c r="J3" s="10" t="s">
        <v>85</v>
      </c>
      <c r="K3" s="10" t="s">
        <v>86</v>
      </c>
      <c r="L3" s="14" t="s">
        <v>87</v>
      </c>
      <c r="M3" s="10" t="s">
        <v>88</v>
      </c>
    </row>
    <row r="4" customFormat="false" ht="15" hidden="false" customHeight="false" outlineLevel="0" collapsed="false">
      <c r="A4" s="7" t="s">
        <v>89</v>
      </c>
      <c r="B4" s="7" t="s">
        <v>90</v>
      </c>
      <c r="C4" s="7" t="s">
        <v>91</v>
      </c>
      <c r="D4" s="7" t="s">
        <v>92</v>
      </c>
      <c r="E4" s="7" t="s">
        <v>93</v>
      </c>
      <c r="F4" s="7" t="s">
        <v>94</v>
      </c>
      <c r="G4" s="7" t="n">
        <v>21</v>
      </c>
      <c r="H4" s="7" t="s">
        <v>83</v>
      </c>
      <c r="I4" s="7" t="s">
        <v>95</v>
      </c>
      <c r="J4" s="7" t="s">
        <v>96</v>
      </c>
      <c r="K4" s="7" t="s">
        <v>97</v>
      </c>
      <c r="L4" s="14" t="s">
        <v>87</v>
      </c>
      <c r="M4" s="7" t="s">
        <v>98</v>
      </c>
    </row>
    <row r="5" customFormat="false" ht="15" hidden="false" customHeight="false" outlineLevel="0" collapsed="false">
      <c r="A5" s="10" t="s">
        <v>99</v>
      </c>
      <c r="B5" s="10" t="s">
        <v>100</v>
      </c>
      <c r="C5" s="10" t="s">
        <v>101</v>
      </c>
      <c r="D5" s="10" t="s">
        <v>102</v>
      </c>
      <c r="E5" s="10" t="s">
        <v>103</v>
      </c>
      <c r="F5" s="10" t="s">
        <v>104</v>
      </c>
      <c r="G5" s="10" t="n">
        <v>7</v>
      </c>
      <c r="H5" s="10" t="s">
        <v>105</v>
      </c>
      <c r="I5" s="10" t="s">
        <v>106</v>
      </c>
      <c r="J5" s="10" t="s">
        <v>107</v>
      </c>
      <c r="K5" s="10" t="s">
        <v>108</v>
      </c>
      <c r="L5" s="14" t="s">
        <v>87</v>
      </c>
      <c r="M5" s="10" t="s">
        <v>109</v>
      </c>
    </row>
  </sheetData>
  <mergeCells count="1">
    <mergeCell ref="A1:M1"/>
  </mergeCells>
  <dataValidations count="1">
    <dataValidation allowBlank="true" errorStyle="stop" operator="between" showDropDown="false" showErrorMessage="false" showInputMessage="false" sqref="L3:L200" type="list">
      <formula1>"Active,Inactive"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35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13"/>
    <col collapsed="false" customWidth="true" hidden="false" outlineLevel="0" max="10" min="10" style="0" width="14"/>
    <col collapsed="false" customWidth="true" hidden="false" outlineLevel="0" max="11" min="11" style="0" width="15"/>
    <col collapsed="false" customWidth="true" hidden="false" outlineLevel="0" max="12" min="12" style="0" width="10"/>
    <col collapsed="false" customWidth="true" hidden="false" outlineLevel="0" max="13" min="13" style="0" width="28"/>
  </cols>
  <sheetData>
    <row r="1" customFormat="false" ht="24" hidden="false" customHeight="true" outlineLevel="0" collapsed="false">
      <c r="A1" s="3" t="s">
        <v>110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customFormat="false" ht="31.5" hidden="false" customHeight="true" outlineLevel="0" collapsed="false">
      <c r="A2" s="8" t="s">
        <v>111</v>
      </c>
      <c r="B2" s="8" t="s">
        <v>112</v>
      </c>
      <c r="C2" s="8" t="s">
        <v>113</v>
      </c>
      <c r="D2" s="8" t="s">
        <v>114</v>
      </c>
      <c r="E2" s="8" t="s">
        <v>115</v>
      </c>
      <c r="F2" s="8" t="s">
        <v>116</v>
      </c>
      <c r="G2" s="8" t="s">
        <v>117</v>
      </c>
      <c r="H2" s="8" t="s">
        <v>118</v>
      </c>
      <c r="I2" s="8" t="s">
        <v>119</v>
      </c>
      <c r="J2" s="8" t="s">
        <v>120</v>
      </c>
      <c r="K2" s="8" t="s">
        <v>121</v>
      </c>
      <c r="L2" s="8" t="s">
        <v>75</v>
      </c>
      <c r="M2" s="8" t="s">
        <v>76</v>
      </c>
    </row>
    <row r="3" customFormat="false" ht="15" hidden="false" customHeight="false" outlineLevel="0" collapsed="false">
      <c r="A3" s="15" t="s">
        <v>122</v>
      </c>
      <c r="B3" s="15" t="s">
        <v>123</v>
      </c>
      <c r="C3" s="15" t="s">
        <v>124</v>
      </c>
      <c r="D3" s="15" t="s">
        <v>125</v>
      </c>
      <c r="E3" s="15" t="s">
        <v>126</v>
      </c>
      <c r="F3" s="15" t="n">
        <v>100</v>
      </c>
      <c r="G3" s="15" t="n">
        <v>14</v>
      </c>
      <c r="H3" s="15" t="s">
        <v>77</v>
      </c>
      <c r="I3" s="16" t="n">
        <f aca="false">IFERROR(VLOOKUP(A3,WACC_Summary!$A:$D,3,0),0)</f>
        <v>640</v>
      </c>
      <c r="J3" s="17" t="n">
        <f aca="false">IFERROR(VLOOKUP(A3,WACC_Summary!$A:$E,5,0),0)</f>
        <v>4.9524</v>
      </c>
      <c r="K3" s="17" t="n">
        <f aca="false">IFERROR(VLOOKUP(A3,WACC_Summary!$A:$D,4,0),0)</f>
        <v>3169.536</v>
      </c>
      <c r="L3" s="15" t="s">
        <v>87</v>
      </c>
      <c r="M3" s="15"/>
    </row>
    <row r="4" customFormat="false" ht="15" hidden="false" customHeight="false" outlineLevel="0" collapsed="false">
      <c r="A4" s="15" t="s">
        <v>127</v>
      </c>
      <c r="B4" s="15" t="s">
        <v>128</v>
      </c>
      <c r="C4" s="15" t="s">
        <v>129</v>
      </c>
      <c r="D4" s="15" t="s">
        <v>125</v>
      </c>
      <c r="E4" s="15" t="s">
        <v>126</v>
      </c>
      <c r="F4" s="15" t="n">
        <v>50</v>
      </c>
      <c r="G4" s="15" t="n">
        <v>21</v>
      </c>
      <c r="H4" s="15" t="s">
        <v>89</v>
      </c>
      <c r="I4" s="16" t="n">
        <f aca="false">IFERROR(VLOOKUP(A4,WACC_Summary!$A:$D,3,0),0)</f>
        <v>300</v>
      </c>
      <c r="J4" s="17" t="n">
        <f aca="false">IFERROR(VLOOKUP(A4,WACC_Summary!$A:$E,5,0),0)</f>
        <v>12.3</v>
      </c>
      <c r="K4" s="17" t="n">
        <f aca="false">IFERROR(VLOOKUP(A4,WACC_Summary!$A:$D,4,0),0)</f>
        <v>3690</v>
      </c>
      <c r="L4" s="15" t="s">
        <v>87</v>
      </c>
      <c r="M4" s="15"/>
    </row>
    <row r="5" customFormat="false" ht="15" hidden="false" customHeight="false" outlineLevel="0" collapsed="false">
      <c r="A5" s="15" t="s">
        <v>130</v>
      </c>
      <c r="B5" s="15" t="s">
        <v>131</v>
      </c>
      <c r="C5" s="15" t="s">
        <v>132</v>
      </c>
      <c r="D5" s="15" t="s">
        <v>125</v>
      </c>
      <c r="E5" s="15" t="s">
        <v>126</v>
      </c>
      <c r="F5" s="15" t="n">
        <v>30</v>
      </c>
      <c r="G5" s="15" t="n">
        <v>7</v>
      </c>
      <c r="H5" s="15" t="s">
        <v>99</v>
      </c>
      <c r="I5" s="16" t="n">
        <f aca="false">IFERROR(VLOOKUP(A5,WACC_Summary!$A:$D,3,0),0)</f>
        <v>0</v>
      </c>
      <c r="J5" s="17" t="n">
        <f aca="false">IFERROR(VLOOKUP(A5,WACC_Summary!$A:$E,5,0),0)</f>
        <v>0</v>
      </c>
      <c r="K5" s="17" t="n">
        <f aca="false">IFERROR(VLOOKUP(A5,WACC_Summary!$A:$D,4,0),0)</f>
        <v>0</v>
      </c>
      <c r="L5" s="15" t="s">
        <v>87</v>
      </c>
      <c r="M5" s="15"/>
    </row>
    <row r="6" customFormat="false" ht="15" hidden="false" customHeight="false" outlineLevel="0" collapsed="false">
      <c r="A6" s="15" t="s">
        <v>133</v>
      </c>
      <c r="B6" s="15" t="s">
        <v>134</v>
      </c>
      <c r="C6" s="15" t="s">
        <v>135</v>
      </c>
      <c r="D6" s="15" t="s">
        <v>125</v>
      </c>
      <c r="E6" s="15" t="s">
        <v>126</v>
      </c>
      <c r="F6" s="15" t="n">
        <v>40</v>
      </c>
      <c r="G6" s="15" t="n">
        <v>14</v>
      </c>
      <c r="H6" s="15" t="s">
        <v>77</v>
      </c>
      <c r="I6" s="16" t="n">
        <f aca="false">IFERROR(VLOOKUP(A6,WACC_Summary!$A:$D,3,0),0)</f>
        <v>0</v>
      </c>
      <c r="J6" s="17" t="n">
        <f aca="false">IFERROR(VLOOKUP(A6,WACC_Summary!$A:$E,5,0),0)</f>
        <v>0</v>
      </c>
      <c r="K6" s="17" t="n">
        <f aca="false">IFERROR(VLOOKUP(A6,WACC_Summary!$A:$D,4,0),0)</f>
        <v>0</v>
      </c>
      <c r="L6" s="15" t="s">
        <v>87</v>
      </c>
      <c r="M6" s="15"/>
    </row>
    <row r="7" customFormat="false" ht="15" hidden="false" customHeight="false" outlineLevel="0" collapsed="false">
      <c r="A7" s="15" t="s">
        <v>136</v>
      </c>
      <c r="B7" s="15" t="s">
        <v>137</v>
      </c>
      <c r="C7" s="15" t="s">
        <v>138</v>
      </c>
      <c r="D7" s="15" t="s">
        <v>139</v>
      </c>
      <c r="E7" s="15" t="s">
        <v>126</v>
      </c>
      <c r="F7" s="15" t="n">
        <v>200</v>
      </c>
      <c r="G7" s="15" t="n">
        <v>21</v>
      </c>
      <c r="H7" s="15" t="s">
        <v>89</v>
      </c>
      <c r="I7" s="16" t="n">
        <f aca="false">IFERROR(VLOOKUP(A7,WACC_Summary!$A:$D,3,0),0)</f>
        <v>0</v>
      </c>
      <c r="J7" s="17" t="n">
        <f aca="false">IFERROR(VLOOKUP(A7,WACC_Summary!$A:$E,5,0),0)</f>
        <v>0</v>
      </c>
      <c r="K7" s="17" t="n">
        <f aca="false">IFERROR(VLOOKUP(A7,WACC_Summary!$A:$D,4,0),0)</f>
        <v>0</v>
      </c>
      <c r="L7" s="15" t="s">
        <v>87</v>
      </c>
      <c r="M7" s="15"/>
    </row>
  </sheetData>
  <mergeCells count="1">
    <mergeCell ref="A1:M1"/>
  </mergeCells>
  <dataValidations count="2">
    <dataValidation allowBlank="true" errorStyle="stop" operator="between" showDropDown="false" showErrorMessage="false" showInputMessage="false" sqref="L3:L200" type="list">
      <formula1>"Active,Discontinued,On Hold"</formula1>
      <formula2>0</formula2>
    </dataValidation>
    <dataValidation allowBlank="true" errorStyle="stop" operator="between" showDropDown="false" showErrorMessage="false" showInputMessage="false" sqref="E3:E200" type="list">
      <formula1>"Units,Kg,Litres,Boxes,Packs"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24"/>
    <col collapsed="false" customWidth="true" hidden="false" outlineLevel="0" max="5" min="5" style="0" width="10"/>
    <col collapsed="false" customWidth="true" hidden="false" outlineLevel="0" max="6" min="6" style="0" width="20"/>
    <col collapsed="false" customWidth="true" hidden="false" outlineLevel="0" max="8" min="7" style="0" width="11"/>
    <col collapsed="false" customWidth="true" hidden="false" outlineLevel="0" max="10" min="9" style="0" width="10"/>
    <col collapsed="false" customWidth="true" hidden="false" outlineLevel="0" max="11" min="11" style="0" width="13"/>
    <col collapsed="false" customWidth="true" hidden="false" outlineLevel="0" max="12" min="12" style="0" width="11"/>
    <col collapsed="false" customWidth="true" hidden="false" outlineLevel="0" max="13" min="13" style="0" width="12"/>
    <col collapsed="false" customWidth="true" hidden="false" outlineLevel="0" max="14" min="14" style="0" width="15"/>
    <col collapsed="false" customWidth="true" hidden="false" outlineLevel="0" max="15" min="15" style="0" width="14"/>
    <col collapsed="false" customWidth="true" hidden="false" outlineLevel="0" max="17" min="16" style="0" width="10"/>
    <col collapsed="false" customWidth="true" hidden="false" outlineLevel="0" max="18" min="18" style="0" width="15"/>
    <col collapsed="false" customWidth="true" hidden="false" outlineLevel="0" max="19" min="19" style="0" width="10"/>
    <col collapsed="false" customWidth="true" hidden="false" outlineLevel="0" max="20" min="20" style="0" width="13"/>
    <col collapsed="false" customWidth="true" hidden="false" outlineLevel="0" max="21" min="21" style="0" width="22"/>
    <col collapsed="false" customWidth="true" hidden="false" outlineLevel="0" max="25" min="22" style="0" width="13"/>
    <col collapsed="false" customWidth="true" hidden="false" outlineLevel="0" max="27" min="26" style="0" width="15"/>
    <col collapsed="false" customWidth="true" hidden="false" outlineLevel="0" max="28" min="28" style="0" width="13"/>
    <col collapsed="false" customWidth="true" hidden="false" outlineLevel="0" max="29" min="29" style="0" width="12"/>
    <col collapsed="false" customWidth="true" hidden="false" outlineLevel="0" max="30" min="30" style="0" width="35"/>
  </cols>
  <sheetData>
    <row r="1" customFormat="false" ht="24" hidden="false" customHeight="true" outlineLevel="0" collapsed="false">
      <c r="A1" s="3" t="s">
        <v>140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customFormat="false" ht="31.5" hidden="false" customHeight="true" outlineLevel="0" collapsed="false">
      <c r="A2" s="8" t="s">
        <v>141</v>
      </c>
      <c r="B2" s="8" t="s">
        <v>142</v>
      </c>
      <c r="C2" s="8" t="s">
        <v>64</v>
      </c>
      <c r="D2" s="8" t="s">
        <v>65</v>
      </c>
      <c r="E2" s="8" t="s">
        <v>111</v>
      </c>
      <c r="F2" s="8" t="s">
        <v>112</v>
      </c>
      <c r="G2" s="8" t="s">
        <v>143</v>
      </c>
      <c r="H2" s="8" t="s">
        <v>144</v>
      </c>
      <c r="I2" s="8" t="s">
        <v>145</v>
      </c>
      <c r="J2" s="8" t="s">
        <v>146</v>
      </c>
      <c r="K2" s="8" t="s">
        <v>147</v>
      </c>
      <c r="L2" s="8" t="s">
        <v>148</v>
      </c>
      <c r="M2" s="8" t="s">
        <v>149</v>
      </c>
      <c r="N2" s="8" t="s">
        <v>150</v>
      </c>
      <c r="O2" s="8" t="s">
        <v>151</v>
      </c>
      <c r="P2" s="8" t="s">
        <v>71</v>
      </c>
      <c r="Q2" s="8" t="s">
        <v>152</v>
      </c>
      <c r="R2" s="8" t="s">
        <v>153</v>
      </c>
      <c r="S2" s="8" t="s">
        <v>154</v>
      </c>
      <c r="T2" s="8" t="s">
        <v>155</v>
      </c>
      <c r="U2" s="8" t="s">
        <v>75</v>
      </c>
      <c r="V2" s="8" t="s">
        <v>156</v>
      </c>
      <c r="W2" s="8" t="s">
        <v>157</v>
      </c>
      <c r="X2" s="8" t="s">
        <v>158</v>
      </c>
      <c r="Y2" s="8" t="s">
        <v>159</v>
      </c>
      <c r="Z2" s="8" t="s">
        <v>160</v>
      </c>
      <c r="AA2" s="8" t="s">
        <v>161</v>
      </c>
      <c r="AB2" s="8" t="s">
        <v>162</v>
      </c>
      <c r="AC2" s="8" t="s">
        <v>163</v>
      </c>
      <c r="AD2" s="8" t="s">
        <v>76</v>
      </c>
    </row>
    <row r="3" customFormat="false" ht="15" hidden="false" customHeight="false" outlineLevel="0" collapsed="false">
      <c r="A3" s="15" t="s">
        <v>164</v>
      </c>
      <c r="B3" s="18" t="n">
        <v>46032</v>
      </c>
      <c r="C3" s="15" t="s">
        <v>77</v>
      </c>
      <c r="D3" s="19" t="str">
        <f aca="false">IFERROR(VLOOKUP(C3,Supplier_Master!$A:$B,2,0),"")</f>
        <v>ABC Trading Co.</v>
      </c>
      <c r="E3" s="15" t="s">
        <v>122</v>
      </c>
      <c r="F3" s="19" t="str">
        <f aca="false">IFERROR(VLOOKUP(E3,Item_Master!$A:$B,2,0),"")</f>
        <v>Widget A</v>
      </c>
      <c r="G3" s="20" t="n">
        <v>1000</v>
      </c>
      <c r="H3" s="21" t="n">
        <v>5</v>
      </c>
      <c r="I3" s="20" t="n">
        <v>50</v>
      </c>
      <c r="J3" s="22" t="n">
        <f aca="false">G3+I3</f>
        <v>1050</v>
      </c>
      <c r="K3" s="23" t="n">
        <f aca="false">G3*H3</f>
        <v>5000</v>
      </c>
      <c r="L3" s="21" t="n">
        <v>200</v>
      </c>
      <c r="M3" s="21" t="n">
        <v>0</v>
      </c>
      <c r="N3" s="23" t="n">
        <f aca="false">K3+L3+M3</f>
        <v>5200</v>
      </c>
      <c r="O3" s="23" t="n">
        <f aca="false">IFERROR(N3/J3,0)</f>
        <v>4.95238095238095</v>
      </c>
      <c r="P3" s="15" t="s">
        <v>83</v>
      </c>
      <c r="Q3" s="24" t="n">
        <v>1</v>
      </c>
      <c r="R3" s="23" t="n">
        <f aca="false">N3*Q3</f>
        <v>5200</v>
      </c>
      <c r="S3" s="25" t="n">
        <v>0.3</v>
      </c>
      <c r="T3" s="23" t="n">
        <f aca="false">N3*S3</f>
        <v>1560</v>
      </c>
      <c r="U3" s="14" t="s">
        <v>165</v>
      </c>
      <c r="V3" s="15" t="s">
        <v>166</v>
      </c>
      <c r="W3" s="15" t="s">
        <v>167</v>
      </c>
      <c r="X3" s="18" t="n">
        <v>46034</v>
      </c>
      <c r="Y3" s="18" t="n">
        <v>46035</v>
      </c>
      <c r="Z3" s="18" t="n">
        <v>46047</v>
      </c>
      <c r="AA3" s="18" t="n">
        <v>46050</v>
      </c>
      <c r="AB3" s="18" t="n">
        <v>46050</v>
      </c>
      <c r="AC3" s="20" t="n">
        <v>1050</v>
      </c>
      <c r="AD3" s="15" t="s">
        <v>168</v>
      </c>
    </row>
    <row r="4" customFormat="false" ht="15" hidden="false" customHeight="false" outlineLevel="0" collapsed="false">
      <c r="A4" s="15" t="s">
        <v>169</v>
      </c>
      <c r="B4" s="18" t="n">
        <v>46040</v>
      </c>
      <c r="C4" s="15" t="s">
        <v>89</v>
      </c>
      <c r="D4" s="19" t="str">
        <f aca="false">IFERROR(VLOOKUP(C4,Supplier_Master!$A:$B,2,0),"")</f>
        <v>XYZ Manufacturing</v>
      </c>
      <c r="E4" s="15" t="s">
        <v>127</v>
      </c>
      <c r="F4" s="19" t="str">
        <f aca="false">IFERROR(VLOOKUP(E4,Item_Master!$A:$B,2,0),"")</f>
        <v>Widget B</v>
      </c>
      <c r="G4" s="20" t="n">
        <v>500</v>
      </c>
      <c r="H4" s="21" t="n">
        <v>12</v>
      </c>
      <c r="I4" s="20" t="n">
        <v>0</v>
      </c>
      <c r="J4" s="22" t="n">
        <f aca="false">G4+I4</f>
        <v>500</v>
      </c>
      <c r="K4" s="23" t="n">
        <f aca="false">G4*H4</f>
        <v>6000</v>
      </c>
      <c r="L4" s="21" t="n">
        <v>150</v>
      </c>
      <c r="M4" s="21" t="n">
        <v>0</v>
      </c>
      <c r="N4" s="23" t="n">
        <f aca="false">K4+L4+M4</f>
        <v>6150</v>
      </c>
      <c r="O4" s="23" t="n">
        <f aca="false">IFERROR(N4/J4,0)</f>
        <v>12.3</v>
      </c>
      <c r="P4" s="15" t="s">
        <v>83</v>
      </c>
      <c r="Q4" s="24" t="n">
        <v>1</v>
      </c>
      <c r="R4" s="23" t="n">
        <f aca="false">N4*Q4</f>
        <v>6150</v>
      </c>
      <c r="S4" s="25" t="n">
        <v>0.3</v>
      </c>
      <c r="T4" s="23" t="n">
        <f aca="false">N4*S4</f>
        <v>1845</v>
      </c>
      <c r="U4" s="14" t="s">
        <v>165</v>
      </c>
      <c r="V4" s="15" t="s">
        <v>166</v>
      </c>
      <c r="W4" s="15" t="s">
        <v>167</v>
      </c>
      <c r="X4" s="18" t="n">
        <v>46041</v>
      </c>
      <c r="Y4" s="18" t="n">
        <v>46042</v>
      </c>
      <c r="Z4" s="18" t="n">
        <v>46063</v>
      </c>
      <c r="AA4" s="18" t="n">
        <v>46068</v>
      </c>
      <c r="AB4" s="18" t="n">
        <v>46065</v>
      </c>
      <c r="AC4" s="20" t="n">
        <v>500</v>
      </c>
      <c r="AD4" s="15" t="s">
        <v>170</v>
      </c>
    </row>
    <row r="5" customFormat="false" ht="15" hidden="false" customHeight="false" outlineLevel="0" collapsed="false">
      <c r="A5" s="15" t="s">
        <v>171</v>
      </c>
      <c r="B5" s="18" t="n">
        <v>46073</v>
      </c>
      <c r="C5" s="15" t="s">
        <v>77</v>
      </c>
      <c r="D5" s="19" t="str">
        <f aca="false">IFERROR(VLOOKUP(C5,Supplier_Master!$A:$B,2,0),"")</f>
        <v>ABC Trading Co.</v>
      </c>
      <c r="E5" s="15" t="s">
        <v>122</v>
      </c>
      <c r="F5" s="19" t="str">
        <f aca="false">IFERROR(VLOOKUP(E5,Item_Master!$A:$B,2,0),"")</f>
        <v>Widget A</v>
      </c>
      <c r="G5" s="20" t="n">
        <v>800</v>
      </c>
      <c r="H5" s="21" t="n">
        <v>5.2</v>
      </c>
      <c r="I5" s="20" t="n">
        <v>0</v>
      </c>
      <c r="J5" s="22" t="n">
        <f aca="false">G5+I5</f>
        <v>800</v>
      </c>
      <c r="K5" s="23" t="n">
        <f aca="false">G5*H5</f>
        <v>4160</v>
      </c>
      <c r="L5" s="21" t="n">
        <v>180</v>
      </c>
      <c r="M5" s="21" t="n">
        <v>0</v>
      </c>
      <c r="N5" s="23" t="n">
        <f aca="false">K5+L5+M5</f>
        <v>4340</v>
      </c>
      <c r="O5" s="23" t="n">
        <f aca="false">IFERROR(N5/J5,0)</f>
        <v>5.425</v>
      </c>
      <c r="P5" s="15" t="s">
        <v>83</v>
      </c>
      <c r="Q5" s="24" t="n">
        <v>1</v>
      </c>
      <c r="R5" s="23" t="n">
        <f aca="false">N5*Q5</f>
        <v>4340</v>
      </c>
      <c r="S5" s="25" t="n">
        <v>0.3</v>
      </c>
      <c r="T5" s="23" t="n">
        <f aca="false">N5*S5</f>
        <v>1302</v>
      </c>
      <c r="U5" s="26" t="s">
        <v>172</v>
      </c>
      <c r="V5" s="15" t="s">
        <v>173</v>
      </c>
      <c r="W5" s="15" t="s">
        <v>167</v>
      </c>
      <c r="X5" s="18" t="n">
        <v>46074</v>
      </c>
      <c r="Y5" s="18" t="n">
        <v>46075</v>
      </c>
      <c r="Z5" s="18"/>
      <c r="AA5" s="18" t="n">
        <v>46096</v>
      </c>
      <c r="AB5" s="18"/>
      <c r="AC5" s="20"/>
      <c r="AD5" s="15" t="s">
        <v>174</v>
      </c>
    </row>
    <row r="6" customFormat="false" ht="15" hidden="false" customHeight="false" outlineLevel="0" collapsed="false">
      <c r="A6" s="15" t="s">
        <v>175</v>
      </c>
      <c r="B6" s="18" t="n">
        <v>46086</v>
      </c>
      <c r="C6" s="15" t="s">
        <v>99</v>
      </c>
      <c r="D6" s="19" t="str">
        <f aca="false">IFERROR(VLOOKUP(C6,Supplier_Master!$A:$B,2,0),"")</f>
        <v>Fresh Goods Ltd.</v>
      </c>
      <c r="E6" s="15" t="s">
        <v>130</v>
      </c>
      <c r="F6" s="19" t="str">
        <f aca="false">IFERROR(VLOOKUP(E6,Item_Master!$A:$B,2,0),"")</f>
        <v>Gadget X</v>
      </c>
      <c r="G6" s="20" t="n">
        <v>300</v>
      </c>
      <c r="H6" s="21" t="n">
        <v>8.5</v>
      </c>
      <c r="I6" s="20" t="n">
        <v>30</v>
      </c>
      <c r="J6" s="22" t="n">
        <f aca="false">G6+I6</f>
        <v>330</v>
      </c>
      <c r="K6" s="23" t="n">
        <f aca="false">G6*H6</f>
        <v>2550</v>
      </c>
      <c r="L6" s="21" t="n">
        <v>90</v>
      </c>
      <c r="M6" s="21" t="n">
        <v>0</v>
      </c>
      <c r="N6" s="23" t="n">
        <f aca="false">K6+L6+M6</f>
        <v>2640</v>
      </c>
      <c r="O6" s="23" t="n">
        <f aca="false">IFERROR(N6/J6,0)</f>
        <v>8</v>
      </c>
      <c r="P6" s="15" t="s">
        <v>105</v>
      </c>
      <c r="Q6" s="24" t="n">
        <v>1.27</v>
      </c>
      <c r="R6" s="23" t="n">
        <f aca="false">N6*Q6</f>
        <v>3352.8</v>
      </c>
      <c r="S6" s="25" t="n">
        <v>0.3</v>
      </c>
      <c r="T6" s="23" t="n">
        <f aca="false">N6*S6</f>
        <v>792</v>
      </c>
      <c r="U6" s="27" t="s">
        <v>176</v>
      </c>
      <c r="V6" s="15" t="s">
        <v>173</v>
      </c>
      <c r="W6" s="15" t="s">
        <v>167</v>
      </c>
      <c r="X6" s="18" t="n">
        <v>46087</v>
      </c>
      <c r="Y6" s="18"/>
      <c r="Z6" s="18"/>
      <c r="AA6" s="18" t="n">
        <v>46101</v>
      </c>
      <c r="AB6" s="18"/>
      <c r="AC6" s="20"/>
      <c r="AD6" s="15" t="s">
        <v>177</v>
      </c>
    </row>
  </sheetData>
  <mergeCells count="1">
    <mergeCell ref="A1:AD1"/>
  </mergeCells>
  <dataValidations count="2">
    <dataValidation allowBlank="true" errorStyle="stop" operator="between" showDropDown="false" showErrorMessage="false" showInputMessage="false" sqref="U3:U500" type="list">
      <formula1>"Draft,Pending Approval,Approved,Deposit Paid,Fully Paid – Shipped,Fully Paid – Received,Cancelled"</formula1>
      <formula2>0</formula2>
    </dataValidation>
    <dataValidation allowBlank="true" errorStyle="stop" operator="between" showDropDown="false" showErrorMessage="false" showInputMessage="false" sqref="P3:P500" type="list">
      <formula1>"USD,EUR,GBP,AUD,SGD,CNY"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2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7" min="7" style="0" width="20"/>
    <col collapsed="false" customWidth="true" hidden="false" outlineLevel="0" max="9" min="8" style="0" width="10"/>
    <col collapsed="false" customWidth="true" hidden="false" outlineLevel="0" max="10" min="10" style="0" width="13"/>
    <col collapsed="false" customWidth="true" hidden="false" outlineLevel="0" max="13" min="11" style="0" width="14"/>
    <col collapsed="false" customWidth="true" hidden="false" outlineLevel="0" max="14" min="14" style="0" width="38"/>
  </cols>
  <sheetData>
    <row r="1" customFormat="false" ht="24" hidden="false" customHeight="true" outlineLevel="0" collapsed="false">
      <c r="A1" s="3" t="s">
        <v>178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customFormat="false" ht="31.5" hidden="false" customHeight="true" outlineLevel="0" collapsed="false">
      <c r="A2" s="8" t="s">
        <v>179</v>
      </c>
      <c r="B2" s="8" t="s">
        <v>180</v>
      </c>
      <c r="C2" s="8" t="s">
        <v>181</v>
      </c>
      <c r="D2" s="8" t="s">
        <v>182</v>
      </c>
      <c r="E2" s="8" t="s">
        <v>183</v>
      </c>
      <c r="F2" s="8" t="s">
        <v>111</v>
      </c>
      <c r="G2" s="8" t="s">
        <v>112</v>
      </c>
      <c r="H2" s="8" t="s">
        <v>184</v>
      </c>
      <c r="I2" s="8" t="s">
        <v>185</v>
      </c>
      <c r="J2" s="8" t="s">
        <v>186</v>
      </c>
      <c r="K2" s="8" t="s">
        <v>187</v>
      </c>
      <c r="L2" s="8" t="s">
        <v>188</v>
      </c>
      <c r="M2" s="8" t="s">
        <v>189</v>
      </c>
      <c r="N2" s="8" t="s">
        <v>76</v>
      </c>
    </row>
    <row r="3" customFormat="false" ht="15" hidden="false" customHeight="false" outlineLevel="0" collapsed="false">
      <c r="A3" s="15" t="s">
        <v>190</v>
      </c>
      <c r="B3" s="18" t="n">
        <v>46050</v>
      </c>
      <c r="C3" s="10" t="str">
        <f aca="false">IFERROR(TEXT(B3,"MMM-YYYY"),"")</f>
        <v>Jan-2026</v>
      </c>
      <c r="D3" s="15" t="s">
        <v>191</v>
      </c>
      <c r="E3" s="15" t="s">
        <v>164</v>
      </c>
      <c r="F3" s="15" t="s">
        <v>122</v>
      </c>
      <c r="G3" s="19" t="str">
        <f aca="false">IFERROR(VLOOKUP(F3,Item_Master!$A:$B,2,0),"")</f>
        <v>Widget A</v>
      </c>
      <c r="H3" s="20" t="n">
        <v>1050</v>
      </c>
      <c r="I3" s="20"/>
      <c r="J3" s="21" t="n">
        <v>4.9524</v>
      </c>
      <c r="K3" s="23" t="n">
        <f aca="false">IFERROR(H3*J3,0)</f>
        <v>5200.02</v>
      </c>
      <c r="L3" s="23" t="n">
        <f aca="false">IFERROR(I3*J3,0)</f>
        <v>0</v>
      </c>
      <c r="M3" s="15" t="s">
        <v>166</v>
      </c>
      <c r="N3" s="15" t="s">
        <v>192</v>
      </c>
    </row>
    <row r="4" customFormat="false" ht="15" hidden="false" customHeight="false" outlineLevel="0" collapsed="false">
      <c r="A4" s="15" t="s">
        <v>193</v>
      </c>
      <c r="B4" s="18" t="n">
        <v>46065</v>
      </c>
      <c r="C4" s="10" t="str">
        <f aca="false">IFERROR(TEXT(B4,"MMM-YYYY"),"")</f>
        <v>Feb-2026</v>
      </c>
      <c r="D4" s="15" t="s">
        <v>191</v>
      </c>
      <c r="E4" s="15" t="s">
        <v>169</v>
      </c>
      <c r="F4" s="15" t="s">
        <v>127</v>
      </c>
      <c r="G4" s="19" t="str">
        <f aca="false">IFERROR(VLOOKUP(F4,Item_Master!$A:$B,2,0),"")</f>
        <v>Widget B</v>
      </c>
      <c r="H4" s="20" t="n">
        <v>500</v>
      </c>
      <c r="I4" s="20"/>
      <c r="J4" s="21" t="n">
        <v>12.3</v>
      </c>
      <c r="K4" s="23" t="n">
        <f aca="false">IFERROR(H4*J4,0)</f>
        <v>6150</v>
      </c>
      <c r="L4" s="23" t="n">
        <f aca="false">IFERROR(I4*J4,0)</f>
        <v>0</v>
      </c>
      <c r="M4" s="15" t="s">
        <v>166</v>
      </c>
      <c r="N4" s="15" t="s">
        <v>194</v>
      </c>
    </row>
    <row r="5" customFormat="false" ht="15" hidden="false" customHeight="false" outlineLevel="0" collapsed="false">
      <c r="A5" s="15" t="s">
        <v>195</v>
      </c>
      <c r="B5" s="18" t="n">
        <v>46068</v>
      </c>
      <c r="C5" s="10" t="str">
        <f aca="false">IFERROR(TEXT(B5,"MMM-YYYY"),"")</f>
        <v>Feb-2026</v>
      </c>
      <c r="D5" s="15" t="s">
        <v>196</v>
      </c>
      <c r="E5" s="15" t="s">
        <v>197</v>
      </c>
      <c r="F5" s="15" t="s">
        <v>122</v>
      </c>
      <c r="G5" s="19" t="str">
        <f aca="false">IFERROR(VLOOKUP(F5,Item_Master!$A:$B,2,0),"")</f>
        <v>Widget A</v>
      </c>
      <c r="H5" s="20"/>
      <c r="I5" s="20" t="n">
        <v>400</v>
      </c>
      <c r="J5" s="21" t="n">
        <v>4.9524</v>
      </c>
      <c r="K5" s="23" t="n">
        <f aca="false">IFERROR(H5*J5,0)</f>
        <v>0</v>
      </c>
      <c r="L5" s="23" t="n">
        <f aca="false">IFERROR(I5*J5,0)</f>
        <v>1980.96</v>
      </c>
      <c r="M5" s="15" t="s">
        <v>173</v>
      </c>
      <c r="N5" s="15" t="s">
        <v>198</v>
      </c>
    </row>
    <row r="6" customFormat="false" ht="15" hidden="false" customHeight="false" outlineLevel="0" collapsed="false">
      <c r="A6" s="15" t="s">
        <v>199</v>
      </c>
      <c r="B6" s="18" t="n">
        <v>46073</v>
      </c>
      <c r="C6" s="10" t="str">
        <f aca="false">IFERROR(TEXT(B6,"MMM-YYYY"),"")</f>
        <v>Feb-2026</v>
      </c>
      <c r="D6" s="15" t="s">
        <v>196</v>
      </c>
      <c r="E6" s="15" t="s">
        <v>200</v>
      </c>
      <c r="F6" s="15" t="s">
        <v>127</v>
      </c>
      <c r="G6" s="19" t="str">
        <f aca="false">IFERROR(VLOOKUP(F6,Item_Master!$A:$B,2,0),"")</f>
        <v>Widget B</v>
      </c>
      <c r="H6" s="20"/>
      <c r="I6" s="20" t="n">
        <v>200</v>
      </c>
      <c r="J6" s="21" t="n">
        <v>12.3</v>
      </c>
      <c r="K6" s="23" t="n">
        <f aca="false">IFERROR(H6*J6,0)</f>
        <v>0</v>
      </c>
      <c r="L6" s="23" t="n">
        <f aca="false">IFERROR(I6*J6,0)</f>
        <v>2460</v>
      </c>
      <c r="M6" s="15" t="s">
        <v>173</v>
      </c>
      <c r="N6" s="15" t="s">
        <v>201</v>
      </c>
    </row>
    <row r="7" customFormat="false" ht="15" hidden="false" customHeight="false" outlineLevel="0" collapsed="false">
      <c r="A7" s="15" t="s">
        <v>202</v>
      </c>
      <c r="B7" s="18" t="n">
        <v>46081</v>
      </c>
      <c r="C7" s="10" t="str">
        <f aca="false">IFERROR(TEXT(B7,"MMM-YYYY"),"")</f>
        <v>Feb-2026</v>
      </c>
      <c r="D7" s="15" t="s">
        <v>203</v>
      </c>
      <c r="E7" s="15" t="s">
        <v>204</v>
      </c>
      <c r="F7" s="15" t="s">
        <v>122</v>
      </c>
      <c r="G7" s="19" t="str">
        <f aca="false">IFERROR(VLOOKUP(F7,Item_Master!$A:$B,2,0),"")</f>
        <v>Widget A</v>
      </c>
      <c r="H7" s="20"/>
      <c r="I7" s="20" t="n">
        <v>10</v>
      </c>
      <c r="J7" s="21" t="n">
        <v>4.9524</v>
      </c>
      <c r="K7" s="23" t="n">
        <f aca="false">IFERROR(H7*J7,0)</f>
        <v>0</v>
      </c>
      <c r="L7" s="23" t="n">
        <f aca="false">IFERROR(I7*J7,0)</f>
        <v>49.524</v>
      </c>
      <c r="M7" s="15" t="s">
        <v>166</v>
      </c>
      <c r="N7" s="15" t="s">
        <v>205</v>
      </c>
    </row>
    <row r="8" customFormat="false" ht="19.5" hidden="false" customHeight="true" outlineLevel="0" collapsed="false">
      <c r="A8" s="28" t="s">
        <v>206</v>
      </c>
      <c r="B8" s="29"/>
      <c r="C8" s="29"/>
      <c r="D8" s="29"/>
      <c r="E8" s="29"/>
      <c r="F8" s="29"/>
      <c r="G8" s="29"/>
      <c r="H8" s="30" t="n">
        <f aca="false">SUM(H3:H7)</f>
        <v>1550</v>
      </c>
      <c r="I8" s="30" t="n">
        <f aca="false">SUM(I3:I7)</f>
        <v>610</v>
      </c>
      <c r="J8" s="29"/>
      <c r="K8" s="31" t="n">
        <f aca="false">SUM(K3:K7)</f>
        <v>11350.02</v>
      </c>
      <c r="L8" s="31" t="n">
        <f aca="false">SUM(L3:L7)</f>
        <v>4490.484</v>
      </c>
      <c r="M8" s="29"/>
      <c r="N8" s="29"/>
    </row>
  </sheetData>
  <mergeCells count="1">
    <mergeCell ref="A1:N1"/>
  </mergeCells>
  <dataValidations count="1">
    <dataValidation allowBlank="true" errorStyle="stop" operator="between" showDropDown="false" showErrorMessage="false" showInputMessage="false" sqref="D3:D1008" type="list">
      <formula1>"PO Receipt,Sale,Shrinkage,Adjustment – In,Adjustment – Out,Opening Balance,Write-off"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20"/>
    <col collapsed="false" customWidth="true" hidden="false" outlineLevel="0" max="4" min="4" style="0" width="15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9" min="8" style="0" width="16"/>
    <col collapsed="false" customWidth="true" hidden="false" outlineLevel="0" max="10" min="10" style="0" width="17"/>
    <col collapsed="false" customWidth="true" hidden="false" outlineLevel="0" max="11" min="11" style="0" width="13"/>
    <col collapsed="false" customWidth="true" hidden="false" outlineLevel="0" max="12" min="12" style="0" width="17"/>
    <col collapsed="false" customWidth="true" hidden="false" outlineLevel="0" max="13" min="13" style="0" width="14"/>
    <col collapsed="false" customWidth="true" hidden="false" outlineLevel="0" max="14" min="14" style="0" width="13"/>
  </cols>
  <sheetData>
    <row r="1" customFormat="false" ht="24" hidden="false" customHeight="true" outlineLevel="0" collapsed="false">
      <c r="A1" s="3" t="s">
        <v>207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customFormat="false" ht="33.75" hidden="false" customHeight="true" outlineLevel="0" collapsed="false">
      <c r="A2" s="8" t="s">
        <v>208</v>
      </c>
      <c r="B2" s="8" t="s">
        <v>111</v>
      </c>
      <c r="C2" s="8" t="s">
        <v>112</v>
      </c>
      <c r="D2" s="8" t="s">
        <v>209</v>
      </c>
      <c r="E2" s="8" t="s">
        <v>210</v>
      </c>
      <c r="F2" s="8" t="s">
        <v>211</v>
      </c>
      <c r="G2" s="8" t="s">
        <v>186</v>
      </c>
      <c r="H2" s="32" t="s">
        <v>212</v>
      </c>
      <c r="I2" s="32" t="s">
        <v>213</v>
      </c>
      <c r="J2" s="32" t="s">
        <v>214</v>
      </c>
      <c r="K2" s="32" t="s">
        <v>215</v>
      </c>
      <c r="L2" s="32" t="s">
        <v>216</v>
      </c>
      <c r="M2" s="32" t="s">
        <v>217</v>
      </c>
      <c r="N2" s="32" t="s">
        <v>218</v>
      </c>
    </row>
    <row r="3" customFormat="false" ht="15" hidden="false" customHeight="false" outlineLevel="0" collapsed="false">
      <c r="A3" s="15" t="s">
        <v>219</v>
      </c>
      <c r="B3" s="15" t="s">
        <v>122</v>
      </c>
      <c r="C3" s="19" t="str">
        <f aca="false">IFERROR(VLOOKUP(B3,Item_Master!$A:$B,2,0),"")</f>
        <v>Widget A</v>
      </c>
      <c r="D3" s="15" t="s">
        <v>164</v>
      </c>
      <c r="E3" s="18" t="n">
        <v>46050</v>
      </c>
      <c r="F3" s="20" t="n">
        <v>1050</v>
      </c>
      <c r="G3" s="21" t="n">
        <v>4.9524</v>
      </c>
      <c r="H3" s="22" t="n">
        <f aca="false">SUMPRODUCT(($B$3:B3=B3)*($F$3:F3))</f>
        <v>1050</v>
      </c>
      <c r="I3" s="16" t="n">
        <f aca="false">SUMPRODUCT((Inventory_Ledger!$F$3:$F$500=B3)*Inventory_Ledger!$I$3:$I$500)</f>
        <v>410</v>
      </c>
      <c r="J3" s="22" t="n">
        <f aca="false">MAX(0,MIN(F3,I3-(H3-F3)))</f>
        <v>410</v>
      </c>
      <c r="K3" s="22" t="n">
        <f aca="false">F3-J3</f>
        <v>640</v>
      </c>
      <c r="L3" s="23" t="n">
        <f aca="false">K3*G3</f>
        <v>3169.536</v>
      </c>
      <c r="M3" s="23" t="n">
        <f aca="false">J3*G3</f>
        <v>2030.484</v>
      </c>
      <c r="N3" s="33" t="str">
        <f aca="false">IF(K3=0,"Closed",IF(K3=F3,"Open","Partial"))</f>
        <v>Partial</v>
      </c>
    </row>
    <row r="4" customFormat="false" ht="15" hidden="false" customHeight="false" outlineLevel="0" collapsed="false">
      <c r="A4" s="15" t="s">
        <v>220</v>
      </c>
      <c r="B4" s="15" t="s">
        <v>127</v>
      </c>
      <c r="C4" s="19" t="str">
        <f aca="false">IFERROR(VLOOKUP(B4,Item_Master!$A:$B,2,0),"")</f>
        <v>Widget B</v>
      </c>
      <c r="D4" s="15" t="s">
        <v>169</v>
      </c>
      <c r="E4" s="18" t="n">
        <v>46065</v>
      </c>
      <c r="F4" s="20" t="n">
        <v>500</v>
      </c>
      <c r="G4" s="21" t="n">
        <v>12.3</v>
      </c>
      <c r="H4" s="22" t="n">
        <f aca="false">SUMPRODUCT(($B$3:B4=B4)*($F$3:F4))</f>
        <v>500</v>
      </c>
      <c r="I4" s="16" t="n">
        <f aca="false">SUMPRODUCT((Inventory_Ledger!$F$3:$F$500=B4)*Inventory_Ledger!$I$3:$I$500)</f>
        <v>200</v>
      </c>
      <c r="J4" s="22" t="n">
        <f aca="false">MAX(0,MIN(F4,I4-(H4-F4)))</f>
        <v>200</v>
      </c>
      <c r="K4" s="22" t="n">
        <f aca="false">F4-J4</f>
        <v>300</v>
      </c>
      <c r="L4" s="23" t="n">
        <f aca="false">K4*G4</f>
        <v>3690</v>
      </c>
      <c r="M4" s="23" t="n">
        <f aca="false">J4*G4</f>
        <v>2460</v>
      </c>
      <c r="N4" s="33" t="str">
        <f aca="false">IF(K4=0,"Closed",IF(K4=F4,"Open","Partial"))</f>
        <v>Partial</v>
      </c>
    </row>
    <row r="5" customFormat="false" ht="19.5" hidden="false" customHeight="true" outlineLevel="0" collapsed="false">
      <c r="A5" s="34" t="s">
        <v>206</v>
      </c>
      <c r="B5" s="29"/>
      <c r="C5" s="29"/>
      <c r="D5" s="29"/>
      <c r="E5" s="29"/>
      <c r="F5" s="30" t="n">
        <f aca="false">SUM(F3:F4)</f>
        <v>1550</v>
      </c>
      <c r="G5" s="29"/>
      <c r="H5" s="29"/>
      <c r="I5" s="29"/>
      <c r="J5" s="29"/>
      <c r="K5" s="30" t="n">
        <f aca="false">SUM(K3:K4)</f>
        <v>940</v>
      </c>
      <c r="L5" s="31" t="n">
        <f aca="false">SUM(L3:L4)</f>
        <v>6859.536</v>
      </c>
      <c r="M5" s="31" t="n">
        <f aca="false">SUM(M3:M4)</f>
        <v>4490.484</v>
      </c>
      <c r="N5" s="29"/>
    </row>
    <row r="7" customFormat="false" ht="18" hidden="false" customHeight="true" outlineLevel="0" collapsed="false">
      <c r="A7" s="35" t="s">
        <v>221</v>
      </c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</row>
  </sheetData>
  <mergeCells count="2">
    <mergeCell ref="A1:N1"/>
    <mergeCell ref="A7:N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8" min="8" style="0" width="18"/>
    <col collapsed="false" customWidth="true" hidden="false" outlineLevel="0" max="9" min="9" style="0" width="12"/>
    <col collapsed="false" customWidth="true" hidden="false" outlineLevel="0" max="10" min="10" style="0" width="14"/>
  </cols>
  <sheetData>
    <row r="1" customFormat="false" ht="24" hidden="false" customHeight="true" outlineLevel="0" collapsed="false">
      <c r="A1" s="3" t="s">
        <v>222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31.5" hidden="false" customHeight="true" outlineLevel="0" collapsed="false">
      <c r="A2" s="8" t="s">
        <v>111</v>
      </c>
      <c r="B2" s="8" t="s">
        <v>112</v>
      </c>
      <c r="C2" s="8" t="s">
        <v>119</v>
      </c>
      <c r="D2" s="8" t="s">
        <v>121</v>
      </c>
      <c r="E2" s="8" t="s">
        <v>223</v>
      </c>
      <c r="F2" s="8" t="s">
        <v>224</v>
      </c>
      <c r="G2" s="8" t="s">
        <v>225</v>
      </c>
      <c r="H2" s="8" t="s">
        <v>226</v>
      </c>
      <c r="I2" s="8" t="s">
        <v>227</v>
      </c>
      <c r="J2" s="8" t="s">
        <v>228</v>
      </c>
    </row>
    <row r="3" customFormat="false" ht="15" hidden="false" customHeight="false" outlineLevel="0" collapsed="false">
      <c r="A3" s="15" t="s">
        <v>122</v>
      </c>
      <c r="B3" s="19" t="str">
        <f aca="false">IFERROR(VLOOKUP(A3,Item_Master!$A:$B,2,0),"")</f>
        <v>Widget A</v>
      </c>
      <c r="C3" s="16" t="n">
        <f aca="false">SUMIF(FIFO_Engine!$B:$B,A3,FIFO_Engine!$K:$K)</f>
        <v>640</v>
      </c>
      <c r="D3" s="17" t="n">
        <f aca="false">SUMIF(FIFO_Engine!$B:$B,A3,FIFO_Engine!$L:$L)</f>
        <v>3169.536</v>
      </c>
      <c r="E3" s="23" t="n">
        <f aca="false">IFERROR(D3/C3,0)</f>
        <v>4.9524</v>
      </c>
      <c r="F3" s="17" t="n">
        <f aca="false">SUMIF(FIFO_Engine!$B:$B,A3,FIFO_Engine!$M:$M)</f>
        <v>2030.484</v>
      </c>
      <c r="G3" s="16" t="n">
        <f aca="false">SUMIF(FIFO_Engine!$B:$B,A3,FIFO_Engine!$F:$F)</f>
        <v>1050</v>
      </c>
      <c r="H3" s="17" t="n">
        <f aca="false">SUMPRODUCT((FIFO_Engine!$B$3:$B$200=A3)*FIFO_Engine!$F$3:$F$200*FIFO_Engine!$G$3:$G$200)</f>
        <v>5200.02</v>
      </c>
      <c r="I3" s="16" t="n">
        <f aca="false">COUNTIFS(FIFO_Engine!$B:$B,A3,FIFO_Engine!$N:$N,"Open")+COUNTIFS(FIFO_Engine!$B:$B,A3,FIFO_Engine!$N:$N,"Partial")</f>
        <v>1</v>
      </c>
      <c r="J3" s="36" t="str">
        <f aca="false">IF(C3&lt;=IFERROR(VLOOKUP(A3,Item_Master!$A:$F,6,0),9999),"⚠  REORDER","✓  OK")</f>
        <v>✓  OK</v>
      </c>
    </row>
    <row r="4" customFormat="false" ht="15" hidden="false" customHeight="false" outlineLevel="0" collapsed="false">
      <c r="A4" s="15" t="s">
        <v>127</v>
      </c>
      <c r="B4" s="19" t="str">
        <f aca="false">IFERROR(VLOOKUP(A4,Item_Master!$A:$B,2,0),"")</f>
        <v>Widget B</v>
      </c>
      <c r="C4" s="16" t="n">
        <f aca="false">SUMIF(FIFO_Engine!$B:$B,A4,FIFO_Engine!$K:$K)</f>
        <v>300</v>
      </c>
      <c r="D4" s="17" t="n">
        <f aca="false">SUMIF(FIFO_Engine!$B:$B,A4,FIFO_Engine!$L:$L)</f>
        <v>3690</v>
      </c>
      <c r="E4" s="23" t="n">
        <f aca="false">IFERROR(D4/C4,0)</f>
        <v>12.3</v>
      </c>
      <c r="F4" s="17" t="n">
        <f aca="false">SUMIF(FIFO_Engine!$B:$B,A4,FIFO_Engine!$M:$M)</f>
        <v>2460</v>
      </c>
      <c r="G4" s="16" t="n">
        <f aca="false">SUMIF(FIFO_Engine!$B:$B,A4,FIFO_Engine!$F:$F)</f>
        <v>500</v>
      </c>
      <c r="H4" s="17" t="n">
        <f aca="false">SUMPRODUCT((FIFO_Engine!$B$3:$B$200=A4)*FIFO_Engine!$F$3:$F$200*FIFO_Engine!$G$3:$G$200)</f>
        <v>6150</v>
      </c>
      <c r="I4" s="16" t="n">
        <f aca="false">COUNTIFS(FIFO_Engine!$B:$B,A4,FIFO_Engine!$N:$N,"Open")+COUNTIFS(FIFO_Engine!$B:$B,A4,FIFO_Engine!$N:$N,"Partial")</f>
        <v>1</v>
      </c>
      <c r="J4" s="36" t="str">
        <f aca="false">IF(C4&lt;=IFERROR(VLOOKUP(A4,Item_Master!$A:$F,6,0),9999),"⚠  REORDER","✓  OK")</f>
        <v>✓  OK</v>
      </c>
    </row>
    <row r="5" customFormat="false" ht="15" hidden="false" customHeight="false" outlineLevel="0" collapsed="false">
      <c r="A5" s="15" t="s">
        <v>130</v>
      </c>
      <c r="B5" s="19" t="str">
        <f aca="false">IFERROR(VLOOKUP(A5,Item_Master!$A:$B,2,0),"")</f>
        <v>Gadget X</v>
      </c>
      <c r="C5" s="16" t="n">
        <f aca="false">SUMIF(FIFO_Engine!$B:$B,A5,FIFO_Engine!$K:$K)</f>
        <v>0</v>
      </c>
      <c r="D5" s="17" t="n">
        <f aca="false">SUMIF(FIFO_Engine!$B:$B,A5,FIFO_Engine!$L:$L)</f>
        <v>0</v>
      </c>
      <c r="E5" s="23" t="n">
        <f aca="false">IFERROR(D5/C5,0)</f>
        <v>0</v>
      </c>
      <c r="F5" s="17" t="n">
        <f aca="false">SUMIF(FIFO_Engine!$B:$B,A5,FIFO_Engine!$M:$M)</f>
        <v>0</v>
      </c>
      <c r="G5" s="16" t="n">
        <f aca="false">SUMIF(FIFO_Engine!$B:$B,A5,FIFO_Engine!$F:$F)</f>
        <v>0</v>
      </c>
      <c r="H5" s="17" t="n">
        <f aca="false">SUMPRODUCT((FIFO_Engine!$B$3:$B$200=A5)*FIFO_Engine!$F$3:$F$200*FIFO_Engine!$G$3:$G$200)</f>
        <v>0</v>
      </c>
      <c r="I5" s="16" t="n">
        <f aca="false">COUNTIFS(FIFO_Engine!$B:$B,A5,FIFO_Engine!$N:$N,"Open")+COUNTIFS(FIFO_Engine!$B:$B,A5,FIFO_Engine!$N:$N,"Partial")</f>
        <v>0</v>
      </c>
      <c r="J5" s="36" t="str">
        <f aca="false">IF(C5&lt;=IFERROR(VLOOKUP(A5,Item_Master!$A:$F,6,0),9999),"⚠  REORDER","✓  OK")</f>
        <v>⚠  REORDER</v>
      </c>
    </row>
    <row r="6" customFormat="false" ht="15" hidden="false" customHeight="false" outlineLevel="0" collapsed="false">
      <c r="A6" s="15" t="s">
        <v>133</v>
      </c>
      <c r="B6" s="19" t="str">
        <f aca="false">IFERROR(VLOOKUP(A6,Item_Master!$A:$B,2,0),"")</f>
        <v>Gadget Y</v>
      </c>
      <c r="C6" s="16" t="n">
        <f aca="false">SUMIF(FIFO_Engine!$B:$B,A6,FIFO_Engine!$K:$K)</f>
        <v>0</v>
      </c>
      <c r="D6" s="17" t="n">
        <f aca="false">SUMIF(FIFO_Engine!$B:$B,A6,FIFO_Engine!$L:$L)</f>
        <v>0</v>
      </c>
      <c r="E6" s="23" t="n">
        <f aca="false">IFERROR(D6/C6,0)</f>
        <v>0</v>
      </c>
      <c r="F6" s="17" t="n">
        <f aca="false">SUMIF(FIFO_Engine!$B:$B,A6,FIFO_Engine!$M:$M)</f>
        <v>0</v>
      </c>
      <c r="G6" s="16" t="n">
        <f aca="false">SUMIF(FIFO_Engine!$B:$B,A6,FIFO_Engine!$F:$F)</f>
        <v>0</v>
      </c>
      <c r="H6" s="17" t="n">
        <f aca="false">SUMPRODUCT((FIFO_Engine!$B$3:$B$200=A6)*FIFO_Engine!$F$3:$F$200*FIFO_Engine!$G$3:$G$200)</f>
        <v>0</v>
      </c>
      <c r="I6" s="16" t="n">
        <f aca="false">COUNTIFS(FIFO_Engine!$B:$B,A6,FIFO_Engine!$N:$N,"Open")+COUNTIFS(FIFO_Engine!$B:$B,A6,FIFO_Engine!$N:$N,"Partial")</f>
        <v>0</v>
      </c>
      <c r="J6" s="36" t="str">
        <f aca="false">IF(C6&lt;=IFERROR(VLOOKUP(A6,Item_Master!$A:$F,6,0),9999),"⚠  REORDER","✓  OK")</f>
        <v>⚠  REORDER</v>
      </c>
    </row>
    <row r="7" customFormat="false" ht="15" hidden="false" customHeight="false" outlineLevel="0" collapsed="false">
      <c r="A7" s="15" t="s">
        <v>136</v>
      </c>
      <c r="B7" s="19" t="str">
        <f aca="false">IFERROR(VLOOKUP(A7,Item_Master!$A:$B,2,0),"")</f>
        <v>Component Z</v>
      </c>
      <c r="C7" s="16" t="n">
        <f aca="false">SUMIF(FIFO_Engine!$B:$B,A7,FIFO_Engine!$K:$K)</f>
        <v>0</v>
      </c>
      <c r="D7" s="17" t="n">
        <f aca="false">SUMIF(FIFO_Engine!$B:$B,A7,FIFO_Engine!$L:$L)</f>
        <v>0</v>
      </c>
      <c r="E7" s="23" t="n">
        <f aca="false">IFERROR(D7/C7,0)</f>
        <v>0</v>
      </c>
      <c r="F7" s="17" t="n">
        <f aca="false">SUMIF(FIFO_Engine!$B:$B,A7,FIFO_Engine!$M:$M)</f>
        <v>0</v>
      </c>
      <c r="G7" s="16" t="n">
        <f aca="false">SUMIF(FIFO_Engine!$B:$B,A7,FIFO_Engine!$F:$F)</f>
        <v>0</v>
      </c>
      <c r="H7" s="17" t="n">
        <f aca="false">SUMPRODUCT((FIFO_Engine!$B$3:$B$200=A7)*FIFO_Engine!$F$3:$F$200*FIFO_Engine!$G$3:$G$200)</f>
        <v>0</v>
      </c>
      <c r="I7" s="16" t="n">
        <f aca="false">COUNTIFS(FIFO_Engine!$B:$B,A7,FIFO_Engine!$N:$N,"Open")+COUNTIFS(FIFO_Engine!$B:$B,A7,FIFO_Engine!$N:$N,"Partial")</f>
        <v>0</v>
      </c>
      <c r="J7" s="36" t="str">
        <f aca="false">IF(C7&lt;=IFERROR(VLOOKUP(A7,Item_Master!$A:$F,6,0),9999),"⚠  REORDER","✓  OK")</f>
        <v>⚠  REORDER</v>
      </c>
    </row>
    <row r="8" customFormat="false" ht="19.5" hidden="false" customHeight="true" outlineLevel="0" collapsed="false">
      <c r="A8" s="34" t="s">
        <v>229</v>
      </c>
      <c r="B8" s="29"/>
      <c r="C8" s="30" t="n">
        <f aca="false">SUM(C3:C7)</f>
        <v>940</v>
      </c>
      <c r="D8" s="31" t="n">
        <f aca="false">SUM(D3:D7)</f>
        <v>6859.536</v>
      </c>
      <c r="E8" s="31" t="n">
        <f aca="false">IFERROR(E7,0)</f>
        <v>0</v>
      </c>
      <c r="F8" s="31" t="n">
        <f aca="false">SUM(F3:F7)</f>
        <v>4490.484</v>
      </c>
      <c r="G8" s="30" t="n">
        <f aca="false">SUM(G3:G7)</f>
        <v>1550</v>
      </c>
      <c r="H8" s="31" t="n">
        <f aca="false">SUM(H3:H7)</f>
        <v>11350.02</v>
      </c>
      <c r="I8" s="29"/>
      <c r="J8" s="29"/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24"/>
    <col collapsed="false" customWidth="true" hidden="false" outlineLevel="0" max="4" min="4" style="0" width="40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30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15"/>
    <col collapsed="false" customWidth="true" hidden="false" outlineLevel="0" max="11" min="11" style="0" width="12"/>
    <col collapsed="false" customWidth="true" hidden="false" outlineLevel="0" max="12" min="12" style="0" width="16"/>
    <col collapsed="false" customWidth="true" hidden="false" outlineLevel="0" max="14" min="13" style="0" width="12"/>
  </cols>
  <sheetData>
    <row r="1" customFormat="false" ht="24" hidden="false" customHeight="true" outlineLevel="0" collapsed="false">
      <c r="A1" s="3" t="s">
        <v>230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3" customFormat="false" ht="21.75" hidden="false" customHeight="true" outlineLevel="0" collapsed="false">
      <c r="A3" s="37" t="s">
        <v>231</v>
      </c>
      <c r="B3" s="37"/>
      <c r="C3" s="37"/>
      <c r="D3" s="18" t="n">
        <v>46054</v>
      </c>
    </row>
    <row r="4" customFormat="false" ht="13.5" hidden="false" customHeight="true" outlineLevel="0" collapsed="false">
      <c r="D4" s="38" t="s">
        <v>232</v>
      </c>
    </row>
    <row r="5" customFormat="false" ht="24" hidden="false" customHeight="true" outlineLevel="0" collapsed="false">
      <c r="A5" s="3" t="s">
        <v>233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customFormat="false" ht="31.5" hidden="false" customHeight="true" outlineLevel="0" collapsed="false">
      <c r="A6" s="8" t="s">
        <v>111</v>
      </c>
      <c r="B6" s="8" t="s">
        <v>112</v>
      </c>
      <c r="C6" s="8" t="s">
        <v>234</v>
      </c>
      <c r="D6" s="8" t="s">
        <v>235</v>
      </c>
      <c r="E6" s="8" t="s">
        <v>236</v>
      </c>
      <c r="F6" s="8" t="s">
        <v>237</v>
      </c>
      <c r="G6" s="8" t="s">
        <v>238</v>
      </c>
      <c r="H6" s="8" t="s">
        <v>217</v>
      </c>
      <c r="I6" s="8" t="s">
        <v>239</v>
      </c>
      <c r="J6" s="8" t="s">
        <v>240</v>
      </c>
      <c r="K6" s="8" t="s">
        <v>241</v>
      </c>
      <c r="L6" s="8" t="s">
        <v>242</v>
      </c>
      <c r="M6" s="8" t="s">
        <v>243</v>
      </c>
      <c r="N6" s="8" t="s">
        <v>75</v>
      </c>
    </row>
    <row r="7" customFormat="false" ht="15" hidden="false" customHeight="false" outlineLevel="0" collapsed="false">
      <c r="A7" s="15" t="s">
        <v>122</v>
      </c>
      <c r="B7" s="19" t="str">
        <f aca="false">IFERROR(VLOOKUP(A7,Item_Master!$A:$B,2,0),"")</f>
        <v>Widget A</v>
      </c>
      <c r="C7" s="16" t="n">
        <f aca="false">SUMPRODUCT((Inventory_Ledger!$F$3:$F$500=A7)*(Inventory_Ledger!$B$3:$B$500&lt;$D$3)*Inventory_Ledger!$H$3:$H$500)-SUMPRODUCT((Inventory_Ledger!$F$3:$F$500=A7)*(Inventory_Ledger!$B$3:$B$500&lt;$D$3)*Inventory_Ledger!$I$3:$I$500)</f>
        <v>1050</v>
      </c>
      <c r="D7" s="17" t="n">
        <f aca="false">SUMPRODUCT((Inventory_Ledger!$F$3:$F$500=A7)*(Inventory_Ledger!$B$3:$B$500&lt;$D$3)*Inventory_Ledger!$K$3:$K$500)-SUMPRODUCT((Inventory_Ledger!$F$3:$F$500=A7)*(Inventory_Ledger!$B$3:$B$500&lt;$D$3)*Inventory_Ledger!$L$3:$L$500)</f>
        <v>5200.02</v>
      </c>
      <c r="E7" s="16" t="n">
        <f aca="false">SUMPRODUCT((Inventory_Ledger!$F$3:$F$500=A7)*(Inventory_Ledger!$B$3:$B$500&gt;=$D$3)*(Inventory_Ledger!$B$3:$B$500&lt;=EOMONTH($D$3,0))*(Inventory_Ledger!$D$3:$D$500="PO Receipt")*Inventory_Ledger!$H$3:$H$500)</f>
        <v>0</v>
      </c>
      <c r="F7" s="17" t="n">
        <f aca="false">SUMPRODUCT((Inventory_Ledger!$F$3:$F$500=A7)*(Inventory_Ledger!$B$3:$B$500&gt;=$D$3)*(Inventory_Ledger!$B$3:$B$500&lt;=EOMONTH($D$3,0))*(Inventory_Ledger!$D$3:$D$500="PO Receipt")*Inventory_Ledger!$K$3:$K$500)</f>
        <v>0</v>
      </c>
      <c r="G7" s="16" t="n">
        <f aca="false">SUMPRODUCT((Inventory_Ledger!$F$3:$F$500=A7)*(Inventory_Ledger!$B$3:$B$500&gt;=$D$3)*(Inventory_Ledger!$B$3:$B$500&lt;=EOMONTH($D$3,0))*(Inventory_Ledger!$D$3:$D$500="Sale")*Inventory_Ledger!$I$3:$I$500)</f>
        <v>400</v>
      </c>
      <c r="H7" s="17" t="n">
        <f aca="false">SUMPRODUCT((Inventory_Ledger!$F$3:$F$500=A7)*(Inventory_Ledger!$B$3:$B$500&gt;=$D$3)*(Inventory_Ledger!$B$3:$B$500&lt;=EOMONTH($D$3,0))*(Inventory_Ledger!$D$3:$D$500="Sale")*Inventory_Ledger!$L$3:$L$500)</f>
        <v>1980.96</v>
      </c>
      <c r="I7" s="16" t="n">
        <f aca="false">SUMPRODUCT((Inventory_Ledger!$F$3:$F$500=A7)*(Inventory_Ledger!$B$3:$B$500&gt;=$D$3)*(Inventory_Ledger!$B$3:$B$500&lt;=EOMONTH($D$3,0))*(Inventory_Ledger!$D$3:$D$500="Shrinkage")*Inventory_Ledger!$I$3:$I$500)</f>
        <v>10</v>
      </c>
      <c r="J7" s="17" t="n">
        <f aca="false">SUMPRODUCT((Inventory_Ledger!$F$3:$F$500=A7)*(Inventory_Ledger!$B$3:$B$500&gt;=$D$3)*(Inventory_Ledger!$B$3:$B$500&lt;=EOMONTH($D$3,0))*(Inventory_Ledger!$D$3:$D$500="Shrinkage")*Inventory_Ledger!$L$3:$L$500)</f>
        <v>49.524</v>
      </c>
      <c r="K7" s="22" t="n">
        <f aca="false">C7+E7-G7-I7</f>
        <v>640</v>
      </c>
      <c r="L7" s="23" t="n">
        <f aca="false">D7+F7-H7-J7</f>
        <v>3169.536</v>
      </c>
      <c r="M7" s="17" t="n">
        <f aca="false">IFERROR(VLOOKUP(A7,WACC_Summary!$A:$D,4,0),0)-L7</f>
        <v>0</v>
      </c>
      <c r="N7" s="36" t="str">
        <f aca="false">IF(ABS(M7)&lt;0.01,"✓ Balanced","⚠ Variance")</f>
        <v>✓ Balanced</v>
      </c>
    </row>
    <row r="8" customFormat="false" ht="15" hidden="false" customHeight="false" outlineLevel="0" collapsed="false">
      <c r="A8" s="15" t="s">
        <v>127</v>
      </c>
      <c r="B8" s="19" t="str">
        <f aca="false">IFERROR(VLOOKUP(A8,Item_Master!$A:$B,2,0),"")</f>
        <v>Widget B</v>
      </c>
      <c r="C8" s="16" t="n">
        <f aca="false">SUMPRODUCT((Inventory_Ledger!$F$3:$F$500=A8)*(Inventory_Ledger!$B$3:$B$500&lt;$D$3)*Inventory_Ledger!$H$3:$H$500)-SUMPRODUCT((Inventory_Ledger!$F$3:$F$500=A8)*(Inventory_Ledger!$B$3:$B$500&lt;$D$3)*Inventory_Ledger!$I$3:$I$500)</f>
        <v>0</v>
      </c>
      <c r="D8" s="17" t="n">
        <f aca="false">SUMPRODUCT((Inventory_Ledger!$F$3:$F$500=A8)*(Inventory_Ledger!$B$3:$B$500&lt;$D$3)*Inventory_Ledger!$K$3:$K$500)-SUMPRODUCT((Inventory_Ledger!$F$3:$F$500=A8)*(Inventory_Ledger!$B$3:$B$500&lt;$D$3)*Inventory_Ledger!$L$3:$L$500)</f>
        <v>0</v>
      </c>
      <c r="E8" s="16" t="n">
        <f aca="false">SUMPRODUCT((Inventory_Ledger!$F$3:$F$500=A8)*(Inventory_Ledger!$B$3:$B$500&gt;=$D$3)*(Inventory_Ledger!$B$3:$B$500&lt;=EOMONTH($D$3,0))*(Inventory_Ledger!$D$3:$D$500="PO Receipt")*Inventory_Ledger!$H$3:$H$500)</f>
        <v>500</v>
      </c>
      <c r="F8" s="17" t="n">
        <f aca="false">SUMPRODUCT((Inventory_Ledger!$F$3:$F$500=A8)*(Inventory_Ledger!$B$3:$B$500&gt;=$D$3)*(Inventory_Ledger!$B$3:$B$500&lt;=EOMONTH($D$3,0))*(Inventory_Ledger!$D$3:$D$500="PO Receipt")*Inventory_Ledger!$K$3:$K$500)</f>
        <v>6150</v>
      </c>
      <c r="G8" s="16" t="n">
        <f aca="false">SUMPRODUCT((Inventory_Ledger!$F$3:$F$500=A8)*(Inventory_Ledger!$B$3:$B$500&gt;=$D$3)*(Inventory_Ledger!$B$3:$B$500&lt;=EOMONTH($D$3,0))*(Inventory_Ledger!$D$3:$D$500="Sale")*Inventory_Ledger!$I$3:$I$500)</f>
        <v>200</v>
      </c>
      <c r="H8" s="17" t="n">
        <f aca="false">SUMPRODUCT((Inventory_Ledger!$F$3:$F$500=A8)*(Inventory_Ledger!$B$3:$B$500&gt;=$D$3)*(Inventory_Ledger!$B$3:$B$500&lt;=EOMONTH($D$3,0))*(Inventory_Ledger!$D$3:$D$500="Sale")*Inventory_Ledger!$L$3:$L$500)</f>
        <v>2460</v>
      </c>
      <c r="I8" s="16" t="n">
        <f aca="false">SUMPRODUCT((Inventory_Ledger!$F$3:$F$500=A8)*(Inventory_Ledger!$B$3:$B$500&gt;=$D$3)*(Inventory_Ledger!$B$3:$B$500&lt;=EOMONTH($D$3,0))*(Inventory_Ledger!$D$3:$D$500="Shrinkage")*Inventory_Ledger!$I$3:$I$500)</f>
        <v>0</v>
      </c>
      <c r="J8" s="17" t="n">
        <f aca="false">SUMPRODUCT((Inventory_Ledger!$F$3:$F$500=A8)*(Inventory_Ledger!$B$3:$B$500&gt;=$D$3)*(Inventory_Ledger!$B$3:$B$500&lt;=EOMONTH($D$3,0))*(Inventory_Ledger!$D$3:$D$500="Shrinkage")*Inventory_Ledger!$L$3:$L$500)</f>
        <v>0</v>
      </c>
      <c r="K8" s="22" t="n">
        <f aca="false">C8+E8-G8-I8</f>
        <v>300</v>
      </c>
      <c r="L8" s="23" t="n">
        <f aca="false">D8+F8-H8-J8</f>
        <v>3690</v>
      </c>
      <c r="M8" s="17" t="n">
        <f aca="false">IFERROR(VLOOKUP(A8,WACC_Summary!$A:$D,4,0),0)-L8</f>
        <v>0</v>
      </c>
      <c r="N8" s="36" t="str">
        <f aca="false">IF(ABS(M8)&lt;0.01,"✓ Balanced","⚠ Variance")</f>
        <v>✓ Balanced</v>
      </c>
    </row>
    <row r="9" customFormat="false" ht="15" hidden="false" customHeight="false" outlineLevel="0" collapsed="false">
      <c r="A9" s="15" t="s">
        <v>130</v>
      </c>
      <c r="B9" s="19" t="str">
        <f aca="false">IFERROR(VLOOKUP(A9,Item_Master!$A:$B,2,0),"")</f>
        <v>Gadget X</v>
      </c>
      <c r="C9" s="16" t="n">
        <f aca="false">SUMPRODUCT((Inventory_Ledger!$F$3:$F$500=A9)*(Inventory_Ledger!$B$3:$B$500&lt;$D$3)*Inventory_Ledger!$H$3:$H$500)-SUMPRODUCT((Inventory_Ledger!$F$3:$F$500=A9)*(Inventory_Ledger!$B$3:$B$500&lt;$D$3)*Inventory_Ledger!$I$3:$I$500)</f>
        <v>0</v>
      </c>
      <c r="D9" s="17" t="n">
        <f aca="false">SUMPRODUCT((Inventory_Ledger!$F$3:$F$500=A9)*(Inventory_Ledger!$B$3:$B$500&lt;$D$3)*Inventory_Ledger!$K$3:$K$500)-SUMPRODUCT((Inventory_Ledger!$F$3:$F$500=A9)*(Inventory_Ledger!$B$3:$B$500&lt;$D$3)*Inventory_Ledger!$L$3:$L$500)</f>
        <v>0</v>
      </c>
      <c r="E9" s="16" t="n">
        <f aca="false">SUMPRODUCT((Inventory_Ledger!$F$3:$F$500=A9)*(Inventory_Ledger!$B$3:$B$500&gt;=$D$3)*(Inventory_Ledger!$B$3:$B$500&lt;=EOMONTH($D$3,0))*(Inventory_Ledger!$D$3:$D$500="PO Receipt")*Inventory_Ledger!$H$3:$H$500)</f>
        <v>0</v>
      </c>
      <c r="F9" s="17" t="n">
        <f aca="false">SUMPRODUCT((Inventory_Ledger!$F$3:$F$500=A9)*(Inventory_Ledger!$B$3:$B$500&gt;=$D$3)*(Inventory_Ledger!$B$3:$B$500&lt;=EOMONTH($D$3,0))*(Inventory_Ledger!$D$3:$D$500="PO Receipt")*Inventory_Ledger!$K$3:$K$500)</f>
        <v>0</v>
      </c>
      <c r="G9" s="16" t="n">
        <f aca="false">SUMPRODUCT((Inventory_Ledger!$F$3:$F$500=A9)*(Inventory_Ledger!$B$3:$B$500&gt;=$D$3)*(Inventory_Ledger!$B$3:$B$500&lt;=EOMONTH($D$3,0))*(Inventory_Ledger!$D$3:$D$500="Sale")*Inventory_Ledger!$I$3:$I$500)</f>
        <v>0</v>
      </c>
      <c r="H9" s="17" t="n">
        <f aca="false">SUMPRODUCT((Inventory_Ledger!$F$3:$F$500=A9)*(Inventory_Ledger!$B$3:$B$500&gt;=$D$3)*(Inventory_Ledger!$B$3:$B$500&lt;=EOMONTH($D$3,0))*(Inventory_Ledger!$D$3:$D$500="Sale")*Inventory_Ledger!$L$3:$L$500)</f>
        <v>0</v>
      </c>
      <c r="I9" s="16" t="n">
        <f aca="false">SUMPRODUCT((Inventory_Ledger!$F$3:$F$500=A9)*(Inventory_Ledger!$B$3:$B$500&gt;=$D$3)*(Inventory_Ledger!$B$3:$B$500&lt;=EOMONTH($D$3,0))*(Inventory_Ledger!$D$3:$D$500="Shrinkage")*Inventory_Ledger!$I$3:$I$500)</f>
        <v>0</v>
      </c>
      <c r="J9" s="17" t="n">
        <f aca="false">SUMPRODUCT((Inventory_Ledger!$F$3:$F$500=A9)*(Inventory_Ledger!$B$3:$B$500&gt;=$D$3)*(Inventory_Ledger!$B$3:$B$500&lt;=EOMONTH($D$3,0))*(Inventory_Ledger!$D$3:$D$500="Shrinkage")*Inventory_Ledger!$L$3:$L$500)</f>
        <v>0</v>
      </c>
      <c r="K9" s="22" t="n">
        <f aca="false">C9+E9-G9-I9</f>
        <v>0</v>
      </c>
      <c r="L9" s="23" t="n">
        <f aca="false">D9+F9-H9-J9</f>
        <v>0</v>
      </c>
      <c r="M9" s="17" t="n">
        <f aca="false">IFERROR(VLOOKUP(A9,WACC_Summary!$A:$D,4,0),0)-L9</f>
        <v>0</v>
      </c>
      <c r="N9" s="36" t="str">
        <f aca="false">IF(ABS(M9)&lt;0.01,"✓ Balanced","⚠ Variance")</f>
        <v>✓ Balanced</v>
      </c>
    </row>
    <row r="10" customFormat="false" ht="15" hidden="false" customHeight="false" outlineLevel="0" collapsed="false">
      <c r="A10" s="15" t="s">
        <v>133</v>
      </c>
      <c r="B10" s="19" t="str">
        <f aca="false">IFERROR(VLOOKUP(A10,Item_Master!$A:$B,2,0),"")</f>
        <v>Gadget Y</v>
      </c>
      <c r="C10" s="16" t="n">
        <f aca="false">SUMPRODUCT((Inventory_Ledger!$F$3:$F$500=A10)*(Inventory_Ledger!$B$3:$B$500&lt;$D$3)*Inventory_Ledger!$H$3:$H$500)-SUMPRODUCT((Inventory_Ledger!$F$3:$F$500=A10)*(Inventory_Ledger!$B$3:$B$500&lt;$D$3)*Inventory_Ledger!$I$3:$I$500)</f>
        <v>0</v>
      </c>
      <c r="D10" s="17" t="n">
        <f aca="false">SUMPRODUCT((Inventory_Ledger!$F$3:$F$500=A10)*(Inventory_Ledger!$B$3:$B$500&lt;$D$3)*Inventory_Ledger!$K$3:$K$500)-SUMPRODUCT((Inventory_Ledger!$F$3:$F$500=A10)*(Inventory_Ledger!$B$3:$B$500&lt;$D$3)*Inventory_Ledger!$L$3:$L$500)</f>
        <v>0</v>
      </c>
      <c r="E10" s="16" t="n">
        <f aca="false">SUMPRODUCT((Inventory_Ledger!$F$3:$F$500=A10)*(Inventory_Ledger!$B$3:$B$500&gt;=$D$3)*(Inventory_Ledger!$B$3:$B$500&lt;=EOMONTH($D$3,0))*(Inventory_Ledger!$D$3:$D$500="PO Receipt")*Inventory_Ledger!$H$3:$H$500)</f>
        <v>0</v>
      </c>
      <c r="F10" s="17" t="n">
        <f aca="false">SUMPRODUCT((Inventory_Ledger!$F$3:$F$500=A10)*(Inventory_Ledger!$B$3:$B$500&gt;=$D$3)*(Inventory_Ledger!$B$3:$B$500&lt;=EOMONTH($D$3,0))*(Inventory_Ledger!$D$3:$D$500="PO Receipt")*Inventory_Ledger!$K$3:$K$500)</f>
        <v>0</v>
      </c>
      <c r="G10" s="16" t="n">
        <f aca="false">SUMPRODUCT((Inventory_Ledger!$F$3:$F$500=A10)*(Inventory_Ledger!$B$3:$B$500&gt;=$D$3)*(Inventory_Ledger!$B$3:$B$500&lt;=EOMONTH($D$3,0))*(Inventory_Ledger!$D$3:$D$500="Sale")*Inventory_Ledger!$I$3:$I$500)</f>
        <v>0</v>
      </c>
      <c r="H10" s="17" t="n">
        <f aca="false">SUMPRODUCT((Inventory_Ledger!$F$3:$F$500=A10)*(Inventory_Ledger!$B$3:$B$500&gt;=$D$3)*(Inventory_Ledger!$B$3:$B$500&lt;=EOMONTH($D$3,0))*(Inventory_Ledger!$D$3:$D$500="Sale")*Inventory_Ledger!$L$3:$L$500)</f>
        <v>0</v>
      </c>
      <c r="I10" s="16" t="n">
        <f aca="false">SUMPRODUCT((Inventory_Ledger!$F$3:$F$500=A10)*(Inventory_Ledger!$B$3:$B$500&gt;=$D$3)*(Inventory_Ledger!$B$3:$B$500&lt;=EOMONTH($D$3,0))*(Inventory_Ledger!$D$3:$D$500="Shrinkage")*Inventory_Ledger!$I$3:$I$500)</f>
        <v>0</v>
      </c>
      <c r="J10" s="17" t="n">
        <f aca="false">SUMPRODUCT((Inventory_Ledger!$F$3:$F$500=A10)*(Inventory_Ledger!$B$3:$B$500&gt;=$D$3)*(Inventory_Ledger!$B$3:$B$500&lt;=EOMONTH($D$3,0))*(Inventory_Ledger!$D$3:$D$500="Shrinkage")*Inventory_Ledger!$L$3:$L$500)</f>
        <v>0</v>
      </c>
      <c r="K10" s="22" t="n">
        <f aca="false">C10+E10-G10-I10</f>
        <v>0</v>
      </c>
      <c r="L10" s="23" t="n">
        <f aca="false">D10+F10-H10-J10</f>
        <v>0</v>
      </c>
      <c r="M10" s="17" t="n">
        <f aca="false">IFERROR(VLOOKUP(A10,WACC_Summary!$A:$D,4,0),0)-L10</f>
        <v>0</v>
      </c>
      <c r="N10" s="36" t="str">
        <f aca="false">IF(ABS(M10)&lt;0.01,"✓ Balanced","⚠ Variance")</f>
        <v>✓ Balanced</v>
      </c>
    </row>
    <row r="11" customFormat="false" ht="15" hidden="false" customHeight="false" outlineLevel="0" collapsed="false">
      <c r="A11" s="15" t="s">
        <v>136</v>
      </c>
      <c r="B11" s="19" t="str">
        <f aca="false">IFERROR(VLOOKUP(A11,Item_Master!$A:$B,2,0),"")</f>
        <v>Component Z</v>
      </c>
      <c r="C11" s="16" t="n">
        <f aca="false">SUMPRODUCT((Inventory_Ledger!$F$3:$F$500=A11)*(Inventory_Ledger!$B$3:$B$500&lt;$D$3)*Inventory_Ledger!$H$3:$H$500)-SUMPRODUCT((Inventory_Ledger!$F$3:$F$500=A11)*(Inventory_Ledger!$B$3:$B$500&lt;$D$3)*Inventory_Ledger!$I$3:$I$500)</f>
        <v>0</v>
      </c>
      <c r="D11" s="17" t="n">
        <f aca="false">SUMPRODUCT((Inventory_Ledger!$F$3:$F$500=A11)*(Inventory_Ledger!$B$3:$B$500&lt;$D$3)*Inventory_Ledger!$K$3:$K$500)-SUMPRODUCT((Inventory_Ledger!$F$3:$F$500=A11)*(Inventory_Ledger!$B$3:$B$500&lt;$D$3)*Inventory_Ledger!$L$3:$L$500)</f>
        <v>0</v>
      </c>
      <c r="E11" s="16" t="n">
        <f aca="false">SUMPRODUCT((Inventory_Ledger!$F$3:$F$500=A11)*(Inventory_Ledger!$B$3:$B$500&gt;=$D$3)*(Inventory_Ledger!$B$3:$B$500&lt;=EOMONTH($D$3,0))*(Inventory_Ledger!$D$3:$D$500="PO Receipt")*Inventory_Ledger!$H$3:$H$500)</f>
        <v>0</v>
      </c>
      <c r="F11" s="17" t="n">
        <f aca="false">SUMPRODUCT((Inventory_Ledger!$F$3:$F$500=A11)*(Inventory_Ledger!$B$3:$B$500&gt;=$D$3)*(Inventory_Ledger!$B$3:$B$500&lt;=EOMONTH($D$3,0))*(Inventory_Ledger!$D$3:$D$500="PO Receipt")*Inventory_Ledger!$K$3:$K$500)</f>
        <v>0</v>
      </c>
      <c r="G11" s="16" t="n">
        <f aca="false">SUMPRODUCT((Inventory_Ledger!$F$3:$F$500=A11)*(Inventory_Ledger!$B$3:$B$500&gt;=$D$3)*(Inventory_Ledger!$B$3:$B$500&lt;=EOMONTH($D$3,0))*(Inventory_Ledger!$D$3:$D$500="Sale")*Inventory_Ledger!$I$3:$I$500)</f>
        <v>0</v>
      </c>
      <c r="H11" s="17" t="n">
        <f aca="false">SUMPRODUCT((Inventory_Ledger!$F$3:$F$500=A11)*(Inventory_Ledger!$B$3:$B$500&gt;=$D$3)*(Inventory_Ledger!$B$3:$B$500&lt;=EOMONTH($D$3,0))*(Inventory_Ledger!$D$3:$D$500="Sale")*Inventory_Ledger!$L$3:$L$500)</f>
        <v>0</v>
      </c>
      <c r="I11" s="16" t="n">
        <f aca="false">SUMPRODUCT((Inventory_Ledger!$F$3:$F$500=A11)*(Inventory_Ledger!$B$3:$B$500&gt;=$D$3)*(Inventory_Ledger!$B$3:$B$500&lt;=EOMONTH($D$3,0))*(Inventory_Ledger!$D$3:$D$500="Shrinkage")*Inventory_Ledger!$I$3:$I$500)</f>
        <v>0</v>
      </c>
      <c r="J11" s="17" t="n">
        <f aca="false">SUMPRODUCT((Inventory_Ledger!$F$3:$F$500=A11)*(Inventory_Ledger!$B$3:$B$500&gt;=$D$3)*(Inventory_Ledger!$B$3:$B$500&lt;=EOMONTH($D$3,0))*(Inventory_Ledger!$D$3:$D$500="Shrinkage")*Inventory_Ledger!$L$3:$L$500)</f>
        <v>0</v>
      </c>
      <c r="K11" s="22" t="n">
        <f aca="false">C11+E11-G11-I11</f>
        <v>0</v>
      </c>
      <c r="L11" s="23" t="n">
        <f aca="false">D11+F11-H11-J11</f>
        <v>0</v>
      </c>
      <c r="M11" s="17" t="n">
        <f aca="false">IFERROR(VLOOKUP(A11,WACC_Summary!$A:$D,4,0),0)-L11</f>
        <v>0</v>
      </c>
      <c r="N11" s="36" t="str">
        <f aca="false">IF(ABS(M11)&lt;0.01,"✓ Balanced","⚠ Variance")</f>
        <v>✓ Balanced</v>
      </c>
    </row>
    <row r="12" customFormat="false" ht="21.75" hidden="false" customHeight="true" outlineLevel="0" collapsed="false">
      <c r="A12" s="34" t="s">
        <v>206</v>
      </c>
      <c r="B12" s="29"/>
      <c r="C12" s="30" t="n">
        <f aca="false">SUM(C7:C11)</f>
        <v>1050</v>
      </c>
      <c r="D12" s="31" t="n">
        <f aca="false">SUM(D7:D11)</f>
        <v>5200.02</v>
      </c>
      <c r="E12" s="30" t="n">
        <f aca="false">SUM(E7:E11)</f>
        <v>500</v>
      </c>
      <c r="F12" s="31" t="n">
        <f aca="false">SUM(F7:F11)</f>
        <v>6150</v>
      </c>
      <c r="G12" s="30" t="n">
        <f aca="false">SUM(G7:G11)</f>
        <v>600</v>
      </c>
      <c r="H12" s="31" t="n">
        <f aca="false">SUM(H7:H11)</f>
        <v>4440.96</v>
      </c>
      <c r="I12" s="30" t="n">
        <f aca="false">SUM(I7:I11)</f>
        <v>10</v>
      </c>
      <c r="J12" s="31" t="n">
        <f aca="false">SUM(J7:J11)</f>
        <v>49.524</v>
      </c>
      <c r="K12" s="30" t="n">
        <f aca="false">SUM(K7:K11)</f>
        <v>940</v>
      </c>
      <c r="L12" s="31" t="n">
        <f aca="false">SUM(L7:L11)</f>
        <v>6859.536</v>
      </c>
      <c r="M12" s="31" t="n">
        <f aca="false">SUM(M7:M11)</f>
        <v>0</v>
      </c>
      <c r="N12" s="29"/>
    </row>
    <row r="14" customFormat="false" ht="24" hidden="false" customHeight="true" outlineLevel="0" collapsed="false">
      <c r="A14" s="3" t="str">
        <f aca="false">CONCATENATE("JOURNAL ENTRIES TO POST  —  Period: ",TEXT($D$3,"MMM YYYY"))</f>
        <v>JOURNAL ENTRIES TO POST  —  Period: Feb 2026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customFormat="false" ht="31.5" hidden="false" customHeight="true" outlineLevel="0" collapsed="false">
      <c r="A15" s="8" t="s">
        <v>244</v>
      </c>
      <c r="B15" s="8" t="s">
        <v>245</v>
      </c>
      <c r="C15" s="8" t="s">
        <v>246</v>
      </c>
      <c r="D15" s="8" t="s">
        <v>113</v>
      </c>
      <c r="E15" s="8" t="s">
        <v>247</v>
      </c>
      <c r="F15" s="8" t="s">
        <v>183</v>
      </c>
      <c r="G15" s="8" t="s">
        <v>76</v>
      </c>
    </row>
    <row r="16" customFormat="false" ht="15" hidden="false" customHeight="false" outlineLevel="0" collapsed="false">
      <c r="A16" s="9" t="s">
        <v>248</v>
      </c>
      <c r="B16" s="39" t="s">
        <v>249</v>
      </c>
      <c r="C16" s="7" t="s">
        <v>250</v>
      </c>
      <c r="D16" s="40" t="str">
        <f aca="false">CONCATENATE("Inventory receipts for ",TEXT($D$3,"MMM YYYY"))</f>
        <v>Inventory receipts for Feb 2026</v>
      </c>
      <c r="E16" s="41" t="n">
        <f aca="false">SUMIF(Inventory_Ledger!$D$3:$D$500,"PO Receipt",Inventory_Ledger!$K$3:$K$500)-SUMPRODUCT((Inventory_Ledger!$D$3:$D$500="PO Receipt")*(Inventory_Ledger!$B$3:$B$500&lt;$D$3)*Inventory_Ledger!$K$3:$K$500)-SUMPRODUCT((Inventory_Ledger!$D$3:$D$500="PO Receipt")*(Inventory_Ledger!$B$3:$B$500&gt;EOMONTH($D$3,0))*Inventory_Ledger!$K$3:$K$500)</f>
        <v>6150</v>
      </c>
      <c r="F16" s="42" t="str">
        <f aca="false">CONCATENATE("See PO Register — period ",TEXT($D$3,"MMM YYYY"))</f>
        <v>See PO Register — period Feb 2026</v>
      </c>
      <c r="G16" s="10" t="s">
        <v>251</v>
      </c>
    </row>
    <row r="17" customFormat="false" ht="15" hidden="false" customHeight="false" outlineLevel="0" collapsed="false">
      <c r="A17" s="6" t="s">
        <v>252</v>
      </c>
      <c r="B17" s="39" t="s">
        <v>253</v>
      </c>
      <c r="C17" s="43" t="s">
        <v>249</v>
      </c>
      <c r="D17" s="44" t="str">
        <f aca="false">CONCATENATE("COGS for ",TEXT($D$3,"MMM YYYY"))</f>
        <v>COGS for Feb 2026</v>
      </c>
      <c r="E17" s="41" t="n">
        <f aca="false">SUM(H7:H11)</f>
        <v>4440.96</v>
      </c>
      <c r="F17" s="45" t="str">
        <f aca="false">CONCATENATE("FIFO COGS — see FIFO_Engine")</f>
        <v>FIFO COGS — see FIFO_Engine</v>
      </c>
      <c r="G17" s="7" t="s">
        <v>254</v>
      </c>
    </row>
    <row r="18" customFormat="false" ht="15" hidden="false" customHeight="false" outlineLevel="0" collapsed="false">
      <c r="A18" s="9" t="s">
        <v>255</v>
      </c>
      <c r="B18" s="39" t="s">
        <v>256</v>
      </c>
      <c r="C18" s="43" t="s">
        <v>249</v>
      </c>
      <c r="D18" s="40" t="str">
        <f aca="false">CONCATENATE("Inventory shrinkage for ",TEXT($D$3,"MMM YYYY"))</f>
        <v>Inventory shrinkage for Feb 2026</v>
      </c>
      <c r="E18" s="41" t="n">
        <f aca="false">SUM(J7:J11)</f>
        <v>49.524</v>
      </c>
      <c r="F18" s="42" t="str">
        <f aca="false">CONCATENATE("See Ledger ADJ entries")</f>
        <v>See Ledger ADJ entries</v>
      </c>
      <c r="G18" s="10" t="s">
        <v>257</v>
      </c>
    </row>
    <row r="19" customFormat="false" ht="15" hidden="false" customHeight="false" outlineLevel="0" collapsed="false">
      <c r="A19" s="6" t="s">
        <v>258</v>
      </c>
      <c r="B19" s="39" t="s">
        <v>259</v>
      </c>
      <c r="C19" s="43" t="s">
        <v>260</v>
      </c>
      <c r="D19" s="44" t="str">
        <f aca="false">CONCATENATE("Inventory variance — ",TEXT($D$3,"MMM YYYY"))</f>
        <v>Inventory variance — Feb 2026</v>
      </c>
      <c r="E19" s="41" t="n">
        <f aca="false">SUM(M7:M11)</f>
        <v>0</v>
      </c>
      <c r="F19" s="45" t="s">
        <v>261</v>
      </c>
      <c r="G19" s="7" t="s">
        <v>262</v>
      </c>
    </row>
    <row r="22" customFormat="false" ht="24" hidden="false" customHeight="true" outlineLevel="0" collapsed="false">
      <c r="A22" s="3" t="s">
        <v>263</v>
      </c>
      <c r="B22" s="3"/>
      <c r="C22" s="3"/>
      <c r="D22" s="3"/>
      <c r="E22" s="3"/>
      <c r="F22" s="3"/>
      <c r="G22" s="3"/>
    </row>
    <row r="23" customFormat="false" ht="21.75" hidden="false" customHeight="true" outlineLevel="0" collapsed="false">
      <c r="A23" s="46" t="s">
        <v>264</v>
      </c>
      <c r="B23" s="46"/>
      <c r="C23" s="46"/>
      <c r="D23" s="46"/>
      <c r="E23" s="47" t="n">
        <f aca="false">SUMIF(FIFO_Engine!$B:$B,FIFO_Engine!$B$3,FIFO_Engine!$L:$L)+SUMIF(FIFO_Engine!$B:$B,FIFO_Engine!$B$4,FIFO_Engine!$L:$L)</f>
        <v>6859.536</v>
      </c>
    </row>
    <row r="24" customFormat="false" ht="21.75" hidden="false" customHeight="true" outlineLevel="0" collapsed="false">
      <c r="A24" s="46" t="s">
        <v>265</v>
      </c>
      <c r="B24" s="46"/>
      <c r="C24" s="46"/>
      <c r="D24" s="46"/>
      <c r="E24" s="48" t="n">
        <f aca="false">L12</f>
        <v>6859.536</v>
      </c>
    </row>
  </sheetData>
  <mergeCells count="7">
    <mergeCell ref="A1:N1"/>
    <mergeCell ref="A3:C3"/>
    <mergeCell ref="A5:N5"/>
    <mergeCell ref="A14:N14"/>
    <mergeCell ref="A22:G22"/>
    <mergeCell ref="A23:D23"/>
    <mergeCell ref="A24:D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2026-05-12T07:03:42Z</dcterms:created>
  <dc:creator>openpyxl</dc:creator>
  <dc:description/>
  <dc:language>en-US</dc:language>
  <cp:lastModifiedBy/>
  <dcterms:modified xsi:type="dcterms:W3CDTF">2026-05-12T07:06:02Z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